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nathanpitman/Documents/GitHub/360-Feedback/"/>
    </mc:Choice>
  </mc:AlternateContent>
  <xr:revisionPtr revIDLastSave="0" documentId="13_ncr:1_{3A0BCD70-2D93-CD4A-9050-F587FD14DECA}" xr6:coauthVersionLast="47" xr6:coauthVersionMax="47" xr10:uidLastSave="{00000000-0000-0000-0000-000000000000}"/>
  <bookViews>
    <workbookView xWindow="-33380" yWindow="2840" windowWidth="30660" windowHeight="16000" tabRatio="500" xr2:uid="{00000000-000D-0000-FFFF-FFFF00000000}"/>
  </bookViews>
  <sheets>
    <sheet name="Responses" sheetId="1" r:id="rId1"/>
    <sheet name="Dashboard" sheetId="2" r:id="rId2"/>
    <sheet name="Subject Detail" sheetId="3" r:id="rId3"/>
  </sheets>
  <definedNames>
    <definedName name="_xlnm._FilterDatabase" localSheetId="0" hidden="1">Responses!$A$2:$M$2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5" i="3" l="1"/>
  <c r="A34" i="3"/>
  <c r="A33" i="3"/>
  <c r="A32" i="3"/>
  <c r="A31" i="3"/>
  <c r="A30" i="3"/>
  <c r="A29" i="3"/>
  <c r="A28" i="3"/>
  <c r="A25" i="3"/>
  <c r="A24" i="3"/>
  <c r="A23" i="3"/>
  <c r="A22" i="3"/>
  <c r="A21" i="3"/>
  <c r="A20" i="3"/>
  <c r="A19" i="3"/>
  <c r="A18" i="3"/>
  <c r="D14" i="3"/>
  <c r="C14" i="3"/>
  <c r="E14" i="3" s="1"/>
  <c r="D13" i="3"/>
  <c r="C13" i="3"/>
  <c r="E13" i="3" s="1"/>
  <c r="D12" i="3"/>
  <c r="C12" i="3"/>
  <c r="E12" i="3" s="1"/>
  <c r="D11" i="3"/>
  <c r="C11" i="3"/>
  <c r="E11" i="3" s="1"/>
  <c r="D10" i="3"/>
  <c r="C10" i="3"/>
  <c r="E10" i="3" s="1"/>
  <c r="D9" i="3"/>
  <c r="C9" i="3"/>
  <c r="E9" i="3" s="1"/>
  <c r="D8" i="3"/>
  <c r="C8" i="3"/>
  <c r="E8" i="3" s="1"/>
  <c r="D7" i="3"/>
  <c r="C7" i="3"/>
  <c r="E7" i="3" s="1"/>
  <c r="D6" i="3"/>
  <c r="C6" i="3"/>
  <c r="E6" i="3" s="1"/>
  <c r="K6" i="2"/>
  <c r="J6" i="2"/>
  <c r="I6" i="2"/>
  <c r="H6" i="2"/>
  <c r="G6" i="2"/>
  <c r="F6" i="2"/>
  <c r="E6" i="2"/>
  <c r="D6" i="2"/>
  <c r="C6" i="2"/>
  <c r="B6" i="2"/>
  <c r="K5" i="2"/>
  <c r="J5" i="2"/>
  <c r="I5" i="2"/>
  <c r="H5" i="2"/>
  <c r="G5" i="2"/>
  <c r="F5" i="2"/>
  <c r="E5" i="2"/>
  <c r="D5" i="2"/>
  <c r="C5" i="2"/>
  <c r="B5" i="2"/>
  <c r="L6" i="2" l="1"/>
  <c r="L5" i="2"/>
</calcChain>
</file>

<file path=xl/sharedStrings.xml><?xml version="1.0" encoding="utf-8"?>
<sst xmlns="http://schemas.openxmlformats.org/spreadsheetml/2006/main" count="84" uniqueCount="53">
  <si>
    <t>360° Feedback — Responses</t>
  </si>
  <si>
    <t>Timestamp</t>
  </si>
  <si>
    <t>Subject Name</t>
  </si>
  <si>
    <t>Future Focused</t>
  </si>
  <si>
    <t>Adaptability</t>
  </si>
  <si>
    <t>Positive Outlook</t>
  </si>
  <si>
    <t>Communication</t>
  </si>
  <si>
    <t>Empathy</t>
  </si>
  <si>
    <t>Teamwork</t>
  </si>
  <si>
    <t>Stakeholder Management</t>
  </si>
  <si>
    <t>Planning &amp; Problem Solving</t>
  </si>
  <si>
    <t>Inspirational Leadership</t>
  </si>
  <si>
    <t>Strengths</t>
  </si>
  <si>
    <t>Development Areas</t>
  </si>
  <si>
    <t>2024-06-01 09:12</t>
  </si>
  <si>
    <t>Alex Johnson</t>
  </si>
  <si>
    <t>Strong communicator. Follows through.</t>
  </si>
  <si>
    <t>Could delegate more.</t>
  </si>
  <si>
    <t>2024-06-01 11:45</t>
  </si>
  <si>
    <t>Exceptional leadership presence.</t>
  </si>
  <si>
    <t>More structured planning docs.</t>
  </si>
  <si>
    <t>2024-06-01 14:30</t>
  </si>
  <si>
    <t>Keeps spirits high under pressure.</t>
  </si>
  <si>
    <t>More visibility on strategy.</t>
  </si>
  <si>
    <t>2024-06-02 08:55</t>
  </si>
  <si>
    <t>Sam Patel</t>
  </si>
  <si>
    <t>Deep analytical thinker.</t>
  </si>
  <si>
    <t>More confidence presenting ideas.</t>
  </si>
  <si>
    <t>2024-06-02 10:20</t>
  </si>
  <si>
    <t>Excellent stakeholder relationships.</t>
  </si>
  <si>
    <t>Proactive comms could be stronger.</t>
  </si>
  <si>
    <t>2024-06-02 15:00</t>
  </si>
  <si>
    <t>Empathetic, makes time for the team.</t>
  </si>
  <si>
    <t>More regular 1:1s.</t>
  </si>
  <si>
    <t>Rows added automatically by Power Automate. Do not manually edit column structure.</t>
  </si>
  <si>
    <t>360° Feedback — Dashboard</t>
  </si>
  <si>
    <t>Average scores per competency by subject (1–5 scale) · Updates live as submissions arrive</t>
  </si>
  <si>
    <t>Subject</t>
  </si>
  <si>
    <t>Responses</t>
  </si>
  <si>
    <t>Overall Avg</t>
  </si>
  <si>
    <t>360° Feedback — Individual Report</t>
  </si>
  <si>
    <t>Change the subject name in B3 to view a different person's results.</t>
  </si>
  <si>
    <t>Subject:</t>
  </si>
  <si>
    <t>Competency</t>
  </si>
  <si>
    <t>Pillar</t>
  </si>
  <si>
    <t>Avg Score</t>
  </si>
  <si>
    <t>Visual</t>
  </si>
  <si>
    <t>Make it Happen</t>
  </si>
  <si>
    <t>Never Settle</t>
  </si>
  <si>
    <t>Choose Right</t>
  </si>
  <si>
    <t>Smart with Heart</t>
  </si>
  <si>
    <t>STRENGTHS (all submissions)</t>
  </si>
  <si>
    <t>DEVELOPMENT AREAS (all submissions)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</si>
</sst>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9"/>
      <name val="Arial"/>
      <family val="2"/>
    </font>
    <font>
      <i/>
      <sz val="9"/>
      <color rgb="FF9CA3AF"/>
      <name val="Arial"/>
      <family val="2"/>
    </font>
    <font>
      <b/>
      <sz val="14"/>
      <color rgb="FFFFFFFF"/>
      <name val="Arial"/>
      <family val="2"/>
    </font>
    <font>
      <i/>
      <sz val="9"/>
      <color rgb="FF6B728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b/>
      <sz val="11"/>
      <color rgb="FF4F46E5"/>
      <name val="Arial"/>
      <family val="2"/>
    </font>
    <font>
      <sz val="9"/>
      <color rgb="FF6B7280"/>
      <name val="Arial"/>
      <family val="2"/>
    </font>
    <font>
      <sz val="11"/>
      <color rgb="FF4F46E5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11827"/>
        <bgColor rgb="FF000000"/>
      </patternFill>
    </fill>
    <fill>
      <patternFill patternType="solid">
        <fgColor rgb="FF4F46E5"/>
        <bgColor rgb="FF333399"/>
      </patternFill>
    </fill>
    <fill>
      <patternFill patternType="solid">
        <fgColor rgb="FFF9FAFB"/>
        <bgColor rgb="FFF9F9F9"/>
      </patternFill>
    </fill>
    <fill>
      <patternFill patternType="solid">
        <fgColor rgb="FFFFFFFF"/>
        <bgColor rgb="FFF9FAFB"/>
      </patternFill>
    </fill>
    <fill>
      <patternFill patternType="solid">
        <fgColor rgb="FF059669"/>
        <bgColor rgb="FF008080"/>
      </patternFill>
    </fill>
    <fill>
      <patternFill patternType="solid">
        <fgColor rgb="FFF0FDF4"/>
        <bgColor rgb="FFF9FAFB"/>
      </patternFill>
    </fill>
    <fill>
      <patternFill patternType="solid">
        <fgColor rgb="FFEEF2FF"/>
        <bgColor rgb="FFF9F9F9"/>
      </patternFill>
    </fill>
  </fills>
  <borders count="11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E5E7EB"/>
      </left>
      <right/>
      <top style="thin">
        <color rgb="FFE5E7EB"/>
      </top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E5E7EB"/>
      </bottom>
      <diagonal/>
    </border>
    <border>
      <left/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  <border>
      <left style="thin">
        <color rgb="FFE5E7EB"/>
      </left>
      <right/>
      <top/>
      <bottom style="thin">
        <color rgb="FFE5E7EB"/>
      </bottom>
      <diagonal/>
    </border>
    <border>
      <left/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/>
      <diagonal/>
    </border>
    <border>
      <left style="thin">
        <color rgb="FFE5E7EB"/>
      </left>
      <right/>
      <top style="thin">
        <color rgb="FFE5E7EB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4" fillId="8" borderId="2" xfId="0" applyFont="1" applyFill="1" applyBorder="1" applyAlignment="1">
      <alignment horizontal="left" vertical="center" wrapText="1"/>
    </xf>
    <xf numFmtId="0" fontId="2" fillId="3" borderId="2" xfId="0" applyFont="1" applyFill="1" applyBorder="1" applyAlignment="1">
      <alignment horizontal="left" vertical="center"/>
    </xf>
    <xf numFmtId="0" fontId="14" fillId="5" borderId="2" xfId="0" applyFont="1" applyFill="1" applyBorder="1" applyAlignment="1">
      <alignment horizontal="left" vertical="center" wrapText="1"/>
    </xf>
    <xf numFmtId="0" fontId="14" fillId="7" borderId="2" xfId="0" applyFont="1" applyFill="1" applyBorder="1" applyAlignment="1">
      <alignment horizontal="left" vertical="center" wrapText="1"/>
    </xf>
    <xf numFmtId="0" fontId="2" fillId="6" borderId="2" xfId="0" applyFont="1" applyFill="1" applyBorder="1" applyAlignment="1">
      <alignment horizontal="left" vertical="center"/>
    </xf>
    <xf numFmtId="0" fontId="6" fillId="4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4" fillId="0" borderId="0" xfId="0" applyFont="1"/>
    <xf numFmtId="0" fontId="1" fillId="2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0" fontId="12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horizontal="left" vertical="center"/>
    </xf>
    <xf numFmtId="0" fontId="3" fillId="5" borderId="9" xfId="0" applyFont="1" applyFill="1" applyBorder="1" applyAlignment="1">
      <alignment horizontal="left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left" vertical="center" wrapText="1"/>
    </xf>
    <xf numFmtId="0" fontId="3" fillId="5" borderId="10" xfId="0" applyFont="1" applyFill="1" applyBorder="1" applyAlignment="1">
      <alignment horizontal="left" vertical="center" wrapText="1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rgb="FF333399"/>
          <bgColor rgb="FF4F46E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E5E7EB"/>
        </left>
        <right style="thin">
          <color rgb="FFE5E7EB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E5E7EB"/>
        </left>
        <right/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rgb="FFF9FAFB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E5E7EB"/>
        </right>
        <top style="thin">
          <color rgb="FFE5E7EB"/>
        </top>
        <bottom style="thin">
          <color rgb="FFE5E7EB"/>
        </bottom>
        <vertical/>
        <horizontal/>
      </border>
    </dxf>
    <dxf>
      <border outline="0">
        <top style="thin">
          <color rgb="FFE5E7EB"/>
        </top>
      </border>
    </dxf>
    <dxf>
      <border outline="0">
        <bottom style="thin">
          <color rgb="FFE5E7EB"/>
        </bottom>
      </border>
    </dxf>
    <dxf>
      <border outline="0">
        <left style="thin">
          <color rgb="FFE5E7EB"/>
        </left>
        <right style="thin">
          <color rgb="FFE5E7EB"/>
        </right>
        <top style="thin">
          <color rgb="FFE5E7EB"/>
        </top>
        <bottom style="thin">
          <color rgb="FFE5E7EB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A64F"/>
      <rgbColor rgb="FF800080"/>
      <rgbColor rgb="FF059669"/>
      <rgbColor rgb="FFB8CD97"/>
      <rgbColor rgb="FF878787"/>
      <rgbColor rgb="FF93A9CE"/>
      <rgbColor rgb="FF6B7280"/>
      <rgbColor rgb="FFF0FDF4"/>
      <rgbColor rgb="FFEEF2FF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9F9F9"/>
      <rgbColor rgb="FFF9FAFB"/>
      <rgbColor rgb="FF99CCFF"/>
      <rgbColor rgb="FFD09493"/>
      <rgbColor rgb="FFCC99FF"/>
      <rgbColor rgb="FFFFCC99"/>
      <rgbColor rgb="FF4F46E5"/>
      <rgbColor rgb="FF10B981"/>
      <rgbColor rgb="FF99CC00"/>
      <rgbColor rgb="FFFFCC00"/>
      <rgbColor rgb="FFFF9900"/>
      <rgbColor rgb="FFFF6600"/>
      <rgbColor rgb="FF725990"/>
      <rgbColor rgb="FF9CA3AF"/>
      <rgbColor rgb="FF003366"/>
      <rgbColor rgb="FF4299B0"/>
      <rgbColor rgb="FF11182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GB" sz="1800" b="1" strike="noStrike" spc="-1">
                <a:solidFill>
                  <a:srgbClr val="000000"/>
                </a:solidFill>
                <a:latin typeface="Calibri"/>
              </a:rPr>
              <a:t>Competency Scores by Subject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Dashboard!$B$4</c:f>
              <c:strCache>
                <c:ptCount val="1"/>
                <c:pt idx="0">
                  <c:v>Future Focused</c:v>
                </c:pt>
              </c:strCache>
            </c:strRef>
          </c:tx>
          <c:spPr>
            <a:solidFill>
              <a:srgbClr val="4F46E5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Dashboard!$B$5:$B$6</c:f>
              <c:numCache>
                <c:formatCode>0.0</c:formatCode>
                <c:ptCount val="2"/>
                <c:pt idx="0">
                  <c:v>4</c:v>
                </c:pt>
                <c:pt idx="1">
                  <c:v>4.666666666666667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A4-EE47-8D8D-5B0927150FAD}"/>
            </c:ext>
          </c:extLst>
        </c:ser>
        <c:ser>
          <c:idx val="1"/>
          <c:order val="1"/>
          <c:tx>
            <c:strRef>
              <c:f>Dashboard!$C$4</c:f>
              <c:strCache>
                <c:ptCount val="1"/>
                <c:pt idx="0">
                  <c:v>Adaptability</c:v>
                </c:pt>
              </c:strCache>
            </c:strRef>
          </c:tx>
          <c:spPr>
            <a:solidFill>
              <a:srgbClr val="10B98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Dashboard!$C$5:$C$6</c:f>
              <c:numCache>
                <c:formatCode>0.0</c:formatCode>
                <c:ptCount val="2"/>
                <c:pt idx="0">
                  <c:v>4.666666666666667</c:v>
                </c:pt>
                <c:pt idx="1">
                  <c:v>4.333333333333333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A4-EE47-8D8D-5B0927150FAD}"/>
            </c:ext>
          </c:extLst>
        </c:ser>
        <c:ser>
          <c:idx val="2"/>
          <c:order val="2"/>
          <c:tx>
            <c:strRef>
              <c:f>Dashboard!$D$4</c:f>
              <c:strCache>
                <c:ptCount val="1"/>
                <c:pt idx="0">
                  <c:v>Positive Outlook</c:v>
                </c:pt>
              </c:strCache>
            </c:strRef>
          </c:tx>
          <c:spPr>
            <a:solidFill>
              <a:srgbClr val="8AA64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Dashboard!$D$5:$D$6</c:f>
              <c:numCache>
                <c:formatCode>0.0</c:formatCode>
                <c:ptCount val="2"/>
                <c:pt idx="0">
                  <c:v>4</c:v>
                </c:pt>
                <c:pt idx="1">
                  <c:v>4.333333333333333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A4-EE47-8D8D-5B0927150FAD}"/>
            </c:ext>
          </c:extLst>
        </c:ser>
        <c:ser>
          <c:idx val="3"/>
          <c:order val="3"/>
          <c:tx>
            <c:strRef>
              <c:f>Dashboard!$E$4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rgbClr val="72599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Dashboard!$E$5:$E$6</c:f>
              <c:numCache>
                <c:formatCode>0.0</c:formatCode>
                <c:ptCount val="2"/>
                <c:pt idx="0">
                  <c:v>4.666666666666667</c:v>
                </c:pt>
                <c:pt idx="1">
                  <c:v>4.333333333333333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A4-EE47-8D8D-5B0927150FAD}"/>
            </c:ext>
          </c:extLst>
        </c:ser>
        <c:ser>
          <c:idx val="4"/>
          <c:order val="4"/>
          <c:tx>
            <c:strRef>
              <c:f>Dashboard!$F$4</c:f>
              <c:strCache>
                <c:ptCount val="1"/>
                <c:pt idx="0">
                  <c:v>Empathy</c:v>
                </c:pt>
              </c:strCache>
            </c:strRef>
          </c:tx>
          <c:spPr>
            <a:solidFill>
              <a:srgbClr val="4299B0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Dashboard!$F$5:$F$6</c:f>
              <c:numCache>
                <c:formatCode>0.0</c:formatCode>
                <c:ptCount val="2"/>
                <c:pt idx="0">
                  <c:v>4</c:v>
                </c:pt>
                <c:pt idx="1">
                  <c:v>4.666666666666667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A4-EE47-8D8D-5B0927150FAD}"/>
            </c:ext>
          </c:extLst>
        </c:ser>
        <c:ser>
          <c:idx val="5"/>
          <c:order val="5"/>
          <c:tx>
            <c:strRef>
              <c:f>Dashboard!$G$4</c:f>
              <c:strCache>
                <c:ptCount val="1"/>
                <c:pt idx="0">
                  <c:v>Teamwork</c:v>
                </c:pt>
              </c:strCache>
            </c:strRef>
          </c:tx>
          <c:spPr>
            <a:solidFill>
              <a:srgbClr val="DC853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Dashboard!$G$5:$G$6</c:f>
              <c:numCache>
                <c:formatCode>0.0</c:formatCode>
                <c:ptCount val="2"/>
                <c:pt idx="0">
                  <c:v>4.666666666666667</c:v>
                </c:pt>
                <c:pt idx="1">
                  <c:v>4.666666666666667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CA4-EE47-8D8D-5B0927150FAD}"/>
            </c:ext>
          </c:extLst>
        </c:ser>
        <c:ser>
          <c:idx val="6"/>
          <c:order val="6"/>
          <c:tx>
            <c:strRef>
              <c:f>Dashboard!$H$4</c:f>
              <c:strCache>
                <c:ptCount val="1"/>
                <c:pt idx="0">
                  <c:v>Stakeholder Management</c:v>
                </c:pt>
              </c:strCache>
            </c:strRef>
          </c:tx>
          <c:spPr>
            <a:solidFill>
              <a:srgbClr val="93A9C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Dashboard!$H$5:$H$6</c:f>
              <c:numCache>
                <c:formatCode>0.0</c:formatCode>
                <c:ptCount val="2"/>
                <c:pt idx="0">
                  <c:v>4.666666666666667</c:v>
                </c:pt>
                <c:pt idx="1">
                  <c:v>4.333333333333333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A4-EE47-8D8D-5B0927150FAD}"/>
            </c:ext>
          </c:extLst>
        </c:ser>
        <c:ser>
          <c:idx val="7"/>
          <c:order val="7"/>
          <c:tx>
            <c:strRef>
              <c:f>Dashboard!$I$4</c:f>
              <c:strCache>
                <c:ptCount val="1"/>
                <c:pt idx="0">
                  <c:v>Planning &amp; Problem Solving</c:v>
                </c:pt>
              </c:strCache>
            </c:strRef>
          </c:tx>
          <c:spPr>
            <a:solidFill>
              <a:srgbClr val="D0949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Dashboard!$I$5:$I$6</c:f>
              <c:numCache>
                <c:formatCode>0.0</c:formatCode>
                <c:ptCount val="2"/>
                <c:pt idx="0">
                  <c:v>3.3333333333333335</c:v>
                </c:pt>
                <c:pt idx="1">
                  <c:v>4.666666666666667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CA4-EE47-8D8D-5B0927150FAD}"/>
            </c:ext>
          </c:extLst>
        </c:ser>
        <c:ser>
          <c:idx val="8"/>
          <c:order val="8"/>
          <c:tx>
            <c:strRef>
              <c:f>Dashboard!$J$4</c:f>
              <c:strCache>
                <c:ptCount val="1"/>
                <c:pt idx="0">
                  <c:v>Inspirational Leadership</c:v>
                </c:pt>
              </c:strCache>
            </c:strRef>
          </c:tx>
          <c:spPr>
            <a:solidFill>
              <a:srgbClr val="B8CD97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Dashboard!$B$4:$J$4</c:f>
              <c:strCache>
                <c:ptCount val="9"/>
                <c:pt idx="0">
                  <c:v>Future Focused</c:v>
                </c:pt>
                <c:pt idx="1">
                  <c:v>Adaptability</c:v>
                </c:pt>
                <c:pt idx="2">
                  <c:v>Positive Outlook</c:v>
                </c:pt>
                <c:pt idx="3">
                  <c:v>Communication</c:v>
                </c:pt>
                <c:pt idx="4">
                  <c:v>Empathy</c:v>
                </c:pt>
                <c:pt idx="5">
                  <c:v>Teamwork</c:v>
                </c:pt>
                <c:pt idx="6">
                  <c:v>Stakeholder Management</c:v>
                </c:pt>
                <c:pt idx="7">
                  <c:v>Planning &amp; Problem Solving</c:v>
                </c:pt>
                <c:pt idx="8">
                  <c:v>Inspirational Leadership</c:v>
                </c:pt>
              </c:strCache>
            </c:strRef>
          </c:cat>
          <c:val>
            <c:numRef>
              <c:f>Dashboard!$J$5:$J$6</c:f>
              <c:numCache>
                <c:formatCode>0.0</c:formatCode>
                <c:ptCount val="2"/>
                <c:pt idx="0">
                  <c:v>4.333333333333333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CA4-EE47-8D8D-5B0927150F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858589"/>
        <c:axId val="93388422"/>
      </c:barChart>
      <c:catAx>
        <c:axId val="2885858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388422"/>
        <c:crosses val="autoZero"/>
        <c:auto val="1"/>
        <c:lblAlgn val="ctr"/>
        <c:lblOffset val="100"/>
        <c:noMultiLvlLbl val="0"/>
      </c:catAx>
      <c:valAx>
        <c:axId val="93388422"/>
        <c:scaling>
          <c:orientation val="minMax"/>
          <c:max val="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GB" sz="1000" b="1" strike="noStrike" spc="-1">
                    <a:solidFill>
                      <a:srgbClr val="000000"/>
                    </a:solidFill>
                    <a:latin typeface="Calibri"/>
                  </a:rPr>
                  <a:t>Average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8585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8</xdr:col>
      <xdr:colOff>675000</xdr:colOff>
      <xdr:row>31</xdr:row>
      <xdr:rowOff>107640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4B9726-629B-674A-9DCB-0507013CD3BA}" name="FeedbackResponses" displayName="FeedbackResponses" ref="A2:M8" totalsRowShown="0" headerRowDxfId="0" dataDxfId="1" headerRowBorderDxfId="16" tableBorderDxfId="17" totalsRowBorderDxfId="15">
  <autoFilter ref="A2:M8" xr:uid="{794B9726-629B-674A-9DCB-0507013CD3BA}"/>
  <tableColumns count="13">
    <tableColumn id="1" xr3:uid="{233508D8-C5C3-BE40-AA36-1A51493DB745}" name="Timestamp" dataDxfId="14"/>
    <tableColumn id="2" xr3:uid="{CB893CE0-D229-3D47-9536-74F58B61E2EA}" name="Subject Name" dataDxfId="13"/>
    <tableColumn id="3" xr3:uid="{644A6AB2-44BA-7848-8EB1-FBBBD9B55423}" name="Future Focused" dataDxfId="12"/>
    <tableColumn id="4" xr3:uid="{140C625C-8644-FD46-BE17-2C4A445CC6F4}" name="Adaptability" dataDxfId="11"/>
    <tableColumn id="5" xr3:uid="{F7A883EB-9C24-C945-B071-DA0F951EAB0F}" name="Positive Outlook" dataDxfId="10"/>
    <tableColumn id="6" xr3:uid="{13076880-3BCC-714F-95B8-04D00D87EC8B}" name="Communication" dataDxfId="9"/>
    <tableColumn id="7" xr3:uid="{4D035716-3266-CF4B-B59E-CA5CC82CB502}" name="Empathy" dataDxfId="8"/>
    <tableColumn id="8" xr3:uid="{A6A4D90E-DE27-F649-824B-C234A5AC3631}" name="Teamwork" dataDxfId="7"/>
    <tableColumn id="9" xr3:uid="{5D7585BE-E7EC-C249-B5D7-CAF554D7A658}" name="Stakeholder Management" dataDxfId="6"/>
    <tableColumn id="10" xr3:uid="{50247669-5118-1B4E-97AF-DC52DB065B15}" name="Planning &amp; Problem Solving" dataDxfId="5"/>
    <tableColumn id="11" xr3:uid="{9A13FFAD-B441-5B4F-B5DB-6CF8A30F54F9}" name="Inspirational Leadership" dataDxfId="4"/>
    <tableColumn id="12" xr3:uid="{EA47614F-F217-0E47-AD49-6E4E7754285A}" name="Strengths" dataDxfId="3"/>
    <tableColumn id="13" xr3:uid="{97CD6A68-AC4D-8046-87C3-8A3DB6B17643}" name="Development Area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"/>
  <sheetViews>
    <sheetView tabSelected="1" zoomScaleNormal="100" workbookViewId="0">
      <pane ySplit="2" topLeftCell="A3" activePane="bottomLeft" state="frozen"/>
      <selection pane="bottomLeft" activeCell="E7" sqref="E7"/>
    </sheetView>
  </sheetViews>
  <sheetFormatPr baseColWidth="10" defaultColWidth="8.6640625" defaultRowHeight="15" x14ac:dyDescent="0.2"/>
  <cols>
    <col min="1" max="1" width="20" customWidth="1"/>
    <col min="2" max="2" width="22" customWidth="1"/>
    <col min="3" max="3" width="16.1640625" customWidth="1"/>
    <col min="4" max="4" width="15" customWidth="1"/>
    <col min="5" max="5" width="17" customWidth="1"/>
    <col min="6" max="6" width="16.1640625" customWidth="1"/>
    <col min="7" max="8" width="15" customWidth="1"/>
    <col min="9" max="9" width="24.1640625" customWidth="1"/>
    <col min="10" max="10" width="26.33203125" customWidth="1"/>
    <col min="11" max="11" width="23.33203125" customWidth="1"/>
    <col min="12" max="13" width="45" customWidth="1"/>
  </cols>
  <sheetData>
    <row r="1" spans="1:13" ht="31.5" customHeight="1" x14ac:dyDescent="0.2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</row>
    <row r="2" spans="1:13" ht="36" customHeight="1" x14ac:dyDescent="0.2">
      <c r="A2" s="39" t="s">
        <v>1</v>
      </c>
      <c r="B2" s="40" t="s">
        <v>2</v>
      </c>
      <c r="C2" s="40" t="s">
        <v>3</v>
      </c>
      <c r="D2" s="40" t="s">
        <v>4</v>
      </c>
      <c r="E2" s="40" t="s">
        <v>5</v>
      </c>
      <c r="F2" s="40" t="s">
        <v>6</v>
      </c>
      <c r="G2" s="40" t="s">
        <v>7</v>
      </c>
      <c r="H2" s="40" t="s">
        <v>8</v>
      </c>
      <c r="I2" s="40" t="s">
        <v>9</v>
      </c>
      <c r="J2" s="40" t="s">
        <v>10</v>
      </c>
      <c r="K2" s="40" t="s">
        <v>11</v>
      </c>
      <c r="L2" s="40" t="s">
        <v>12</v>
      </c>
      <c r="M2" s="41" t="s">
        <v>13</v>
      </c>
    </row>
    <row r="3" spans="1:13" ht="25.5" customHeight="1" x14ac:dyDescent="0.2">
      <c r="A3" s="35" t="s">
        <v>14</v>
      </c>
      <c r="B3" s="10" t="s">
        <v>15</v>
      </c>
      <c r="C3" s="11">
        <v>4</v>
      </c>
      <c r="D3" s="11">
        <v>5</v>
      </c>
      <c r="E3" s="11">
        <v>3</v>
      </c>
      <c r="F3" s="11">
        <v>5</v>
      </c>
      <c r="G3" s="11">
        <v>4</v>
      </c>
      <c r="H3" s="11">
        <v>4</v>
      </c>
      <c r="I3" s="11">
        <v>5</v>
      </c>
      <c r="J3" s="11">
        <v>3</v>
      </c>
      <c r="K3" s="11">
        <v>4</v>
      </c>
      <c r="L3" s="12" t="s">
        <v>16</v>
      </c>
      <c r="M3" s="37" t="s">
        <v>17</v>
      </c>
    </row>
    <row r="4" spans="1:13" ht="25.5" customHeight="1" x14ac:dyDescent="0.2">
      <c r="A4" s="36" t="s">
        <v>18</v>
      </c>
      <c r="B4" s="13" t="s">
        <v>15</v>
      </c>
      <c r="C4" s="14">
        <v>5</v>
      </c>
      <c r="D4" s="14">
        <v>5</v>
      </c>
      <c r="E4" s="14">
        <v>4</v>
      </c>
      <c r="F4" s="14">
        <v>5</v>
      </c>
      <c r="G4" s="14">
        <v>5</v>
      </c>
      <c r="H4" s="14">
        <v>5</v>
      </c>
      <c r="I4" s="14">
        <v>5</v>
      </c>
      <c r="J4" s="14">
        <v>4</v>
      </c>
      <c r="K4" s="14">
        <v>5</v>
      </c>
      <c r="L4" s="15" t="s">
        <v>19</v>
      </c>
      <c r="M4" s="38" t="s">
        <v>20</v>
      </c>
    </row>
    <row r="5" spans="1:13" ht="25.5" customHeight="1" x14ac:dyDescent="0.2">
      <c r="A5" s="35" t="s">
        <v>21</v>
      </c>
      <c r="B5" s="10" t="s">
        <v>15</v>
      </c>
      <c r="C5" s="11">
        <v>3</v>
      </c>
      <c r="D5" s="11">
        <v>4</v>
      </c>
      <c r="E5" s="11">
        <v>5</v>
      </c>
      <c r="F5" s="11">
        <v>4</v>
      </c>
      <c r="G5" s="11">
        <v>3</v>
      </c>
      <c r="H5" s="11">
        <v>5</v>
      </c>
      <c r="I5" s="11">
        <v>4</v>
      </c>
      <c r="J5" s="11">
        <v>3</v>
      </c>
      <c r="K5" s="11">
        <v>4</v>
      </c>
      <c r="L5" s="12" t="s">
        <v>22</v>
      </c>
      <c r="M5" s="37" t="s">
        <v>23</v>
      </c>
    </row>
    <row r="6" spans="1:13" ht="25.5" customHeight="1" x14ac:dyDescent="0.2">
      <c r="A6" s="36" t="s">
        <v>24</v>
      </c>
      <c r="B6" s="13" t="s">
        <v>25</v>
      </c>
      <c r="C6" s="14">
        <v>5</v>
      </c>
      <c r="D6" s="14">
        <v>4</v>
      </c>
      <c r="E6" s="14">
        <v>4</v>
      </c>
      <c r="F6" s="14">
        <v>4</v>
      </c>
      <c r="G6" s="14">
        <v>5</v>
      </c>
      <c r="H6" s="14">
        <v>5</v>
      </c>
      <c r="I6" s="14">
        <v>4</v>
      </c>
      <c r="J6" s="14">
        <v>5</v>
      </c>
      <c r="K6" s="14">
        <v>3</v>
      </c>
      <c r="L6" s="15" t="s">
        <v>26</v>
      </c>
      <c r="M6" s="38" t="s">
        <v>27</v>
      </c>
    </row>
    <row r="7" spans="1:13" ht="25.5" customHeight="1" x14ac:dyDescent="0.2">
      <c r="A7" s="35" t="s">
        <v>28</v>
      </c>
      <c r="B7" s="10" t="s">
        <v>25</v>
      </c>
      <c r="C7" s="11">
        <v>4</v>
      </c>
      <c r="D7" s="11">
        <v>4</v>
      </c>
      <c r="E7" s="11">
        <v>5</v>
      </c>
      <c r="F7" s="11">
        <v>4</v>
      </c>
      <c r="G7" s="11">
        <v>4</v>
      </c>
      <c r="H7" s="11">
        <v>4</v>
      </c>
      <c r="I7" s="11">
        <v>5</v>
      </c>
      <c r="J7" s="11">
        <v>5</v>
      </c>
      <c r="K7" s="11">
        <v>4</v>
      </c>
      <c r="L7" s="12" t="s">
        <v>29</v>
      </c>
      <c r="M7" s="37" t="s">
        <v>30</v>
      </c>
    </row>
    <row r="8" spans="1:13" ht="25.5" customHeight="1" x14ac:dyDescent="0.2">
      <c r="A8" s="42" t="s">
        <v>31</v>
      </c>
      <c r="B8" s="43" t="s">
        <v>25</v>
      </c>
      <c r="C8" s="44">
        <v>5</v>
      </c>
      <c r="D8" s="44">
        <v>5</v>
      </c>
      <c r="E8" s="44">
        <v>4</v>
      </c>
      <c r="F8" s="44">
        <v>5</v>
      </c>
      <c r="G8" s="44">
        <v>5</v>
      </c>
      <c r="H8" s="44">
        <v>5</v>
      </c>
      <c r="I8" s="44">
        <v>4</v>
      </c>
      <c r="J8" s="44">
        <v>4</v>
      </c>
      <c r="K8" s="44">
        <v>5</v>
      </c>
      <c r="L8" s="45" t="s">
        <v>32</v>
      </c>
      <c r="M8" s="46" t="s">
        <v>33</v>
      </c>
    </row>
    <row r="10" spans="1:13" x14ac:dyDescent="0.2">
      <c r="A10" s="8" t="s">
        <v>34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</row>
  </sheetData>
  <mergeCells count="2">
    <mergeCell ref="A1:M1"/>
    <mergeCell ref="A10:M10"/>
  </mergeCells>
  <conditionalFormatting sqref="C3:K8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"/>
  <sheetViews>
    <sheetView zoomScaleNormal="100" workbookViewId="0">
      <selection activeCell="E5" sqref="E5"/>
    </sheetView>
  </sheetViews>
  <sheetFormatPr baseColWidth="10" defaultColWidth="8.6640625" defaultRowHeight="15" x14ac:dyDescent="0.2"/>
  <cols>
    <col min="1" max="1" width="22" customWidth="1"/>
    <col min="2" max="12" width="13" customWidth="1"/>
  </cols>
  <sheetData>
    <row r="1" spans="1:14" ht="36" customHeight="1" x14ac:dyDescent="0.2">
      <c r="A1" s="7" t="s">
        <v>35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19.5" customHeight="1" x14ac:dyDescent="0.2">
      <c r="A2" s="6" t="s">
        <v>36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4" spans="1:14" ht="42" customHeight="1" x14ac:dyDescent="0.2">
      <c r="A4" s="16" t="s">
        <v>37</v>
      </c>
      <c r="B4" s="17" t="s">
        <v>3</v>
      </c>
      <c r="C4" s="17" t="s">
        <v>4</v>
      </c>
      <c r="D4" s="17" t="s">
        <v>5</v>
      </c>
      <c r="E4" s="17" t="s">
        <v>6</v>
      </c>
      <c r="F4" s="17" t="s">
        <v>7</v>
      </c>
      <c r="G4" s="17" t="s">
        <v>8</v>
      </c>
      <c r="H4" s="17" t="s">
        <v>9</v>
      </c>
      <c r="I4" s="17" t="s">
        <v>10</v>
      </c>
      <c r="J4" s="17" t="s">
        <v>11</v>
      </c>
      <c r="K4" s="18" t="s">
        <v>38</v>
      </c>
      <c r="L4" s="18" t="s">
        <v>39</v>
      </c>
    </row>
    <row r="5" spans="1:14" ht="25.5" customHeight="1" x14ac:dyDescent="0.2">
      <c r="A5" s="19" t="s">
        <v>15</v>
      </c>
      <c r="B5" s="20">
        <f>IFERROR(AVERAGEIF(Responses!$B$3:$B$200,A5,Responses!$C$3:$C$200),"")</f>
        <v>4</v>
      </c>
      <c r="C5" s="20">
        <f>IFERROR(AVERAGEIF(Responses!$B$3:$B$200,A5,Responses!$D$3:$D$200),"")</f>
        <v>4.666666666666667</v>
      </c>
      <c r="D5" s="20">
        <f>IFERROR(AVERAGEIF(Responses!$B$3:$B$200,A5,Responses!$E$3:$E$200),"")</f>
        <v>4</v>
      </c>
      <c r="E5" s="20">
        <f>IFERROR(AVERAGEIF(Responses!$B$3:$B$200,A5,Responses!$F$3:$F$200),"")</f>
        <v>4.666666666666667</v>
      </c>
      <c r="F5" s="20">
        <f>IFERROR(AVERAGEIF(Responses!$B$3:$B$200,A5,Responses!$G$3:$G$200),"")</f>
        <v>4</v>
      </c>
      <c r="G5" s="20">
        <f>IFERROR(AVERAGEIF(Responses!$B$3:$B$200,A5,Responses!$H$3:$H$200),"")</f>
        <v>4.666666666666667</v>
      </c>
      <c r="H5" s="20">
        <f>IFERROR(AVERAGEIF(Responses!$B$3:$B$200,A5,Responses!$I$3:$I$200),"")</f>
        <v>4.666666666666667</v>
      </c>
      <c r="I5" s="20">
        <f>IFERROR(AVERAGEIF(Responses!$B$3:$B$200,A5,Responses!$J$3:$J$200),"")</f>
        <v>3.3333333333333335</v>
      </c>
      <c r="J5" s="20">
        <f>IFERROR(AVERAGEIF(Responses!$B$3:$B$200,A5,Responses!$K$3:$K$200),"")</f>
        <v>4.333333333333333</v>
      </c>
      <c r="K5" s="21">
        <f>COUNTIF(Responses!$B$3:$B$200,A5)</f>
        <v>3</v>
      </c>
      <c r="L5" s="22">
        <f>IFERROR(AVERAGE(B5:J5),"")</f>
        <v>4.2592592592592604</v>
      </c>
    </row>
    <row r="6" spans="1:14" ht="25.5" customHeight="1" x14ac:dyDescent="0.2">
      <c r="A6" s="23" t="s">
        <v>25</v>
      </c>
      <c r="B6" s="24">
        <f>IFERROR(AVERAGEIF(Responses!$B$3:$B$200,A6,Responses!$C$3:$C$200),"")</f>
        <v>4.666666666666667</v>
      </c>
      <c r="C6" s="24">
        <f>IFERROR(AVERAGEIF(Responses!$B$3:$B$200,A6,Responses!$D$3:$D$200),"")</f>
        <v>4.333333333333333</v>
      </c>
      <c r="D6" s="24">
        <f>IFERROR(AVERAGEIF(Responses!$B$3:$B$200,A6,Responses!$E$3:$E$200),"")</f>
        <v>4.333333333333333</v>
      </c>
      <c r="E6" s="24">
        <f>IFERROR(AVERAGEIF(Responses!$B$3:$B$200,A6,Responses!$F$3:$F$200),"")</f>
        <v>4.333333333333333</v>
      </c>
      <c r="F6" s="24">
        <f>IFERROR(AVERAGEIF(Responses!$B$3:$B$200,A6,Responses!$G$3:$G$200),"")</f>
        <v>4.666666666666667</v>
      </c>
      <c r="G6" s="24">
        <f>IFERROR(AVERAGEIF(Responses!$B$3:$B$200,A6,Responses!$H$3:$H$200),"")</f>
        <v>4.666666666666667</v>
      </c>
      <c r="H6" s="24">
        <f>IFERROR(AVERAGEIF(Responses!$B$3:$B$200,A6,Responses!$I$3:$I$200),"")</f>
        <v>4.333333333333333</v>
      </c>
      <c r="I6" s="24">
        <f>IFERROR(AVERAGEIF(Responses!$B$3:$B$200,A6,Responses!$J$3:$J$200),"")</f>
        <v>4.666666666666667</v>
      </c>
      <c r="J6" s="24">
        <f>IFERROR(AVERAGEIF(Responses!$B$3:$B$200,A6,Responses!$K$3:$K$200),"")</f>
        <v>4</v>
      </c>
      <c r="K6" s="25">
        <f>COUNTIF(Responses!$B$3:$B$200,A6)</f>
        <v>3</v>
      </c>
      <c r="L6" s="22">
        <f>IFERROR(AVERAGE(B6:J6),"")</f>
        <v>4.4444444444444446</v>
      </c>
    </row>
  </sheetData>
  <mergeCells count="2">
    <mergeCell ref="A1:N1"/>
    <mergeCell ref="A2:N2"/>
  </mergeCells>
  <conditionalFormatting sqref="B5:J6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5"/>
  <sheetViews>
    <sheetView zoomScaleNormal="100" workbookViewId="0">
      <pane ySplit="5" topLeftCell="A6" activePane="bottomLeft" state="frozen"/>
      <selection pane="bottomLeft" activeCell="C9" sqref="C9"/>
    </sheetView>
  </sheetViews>
  <sheetFormatPr baseColWidth="10" defaultColWidth="8.6640625" defaultRowHeight="15" x14ac:dyDescent="0.2"/>
  <cols>
    <col min="1" max="1" width="28" customWidth="1"/>
    <col min="2" max="2" width="18" customWidth="1"/>
    <col min="3" max="4" width="12" customWidth="1"/>
    <col min="5" max="5" width="16" customWidth="1"/>
  </cols>
  <sheetData>
    <row r="1" spans="1:9" ht="33.75" customHeight="1" x14ac:dyDescent="0.2">
      <c r="A1" s="9" t="s">
        <v>40</v>
      </c>
      <c r="B1" s="9"/>
      <c r="C1" s="9"/>
      <c r="D1" s="9"/>
      <c r="E1" s="9"/>
      <c r="F1" s="9"/>
      <c r="G1" s="9"/>
      <c r="H1" s="9"/>
      <c r="I1" s="9"/>
    </row>
    <row r="2" spans="1:9" x14ac:dyDescent="0.2">
      <c r="A2" s="6" t="s">
        <v>41</v>
      </c>
      <c r="B2" s="6"/>
      <c r="C2" s="6"/>
      <c r="D2" s="6"/>
      <c r="E2" s="6"/>
      <c r="F2" s="6"/>
      <c r="G2" s="6"/>
      <c r="H2" s="6"/>
      <c r="I2" s="6"/>
    </row>
    <row r="3" spans="1:9" x14ac:dyDescent="0.2">
      <c r="A3" s="26" t="s">
        <v>42</v>
      </c>
      <c r="B3" s="27" t="s">
        <v>15</v>
      </c>
    </row>
    <row r="5" spans="1:9" ht="27.75" customHeight="1" x14ac:dyDescent="0.2">
      <c r="A5" s="16" t="s">
        <v>43</v>
      </c>
      <c r="B5" s="16" t="s">
        <v>44</v>
      </c>
      <c r="C5" s="18" t="s">
        <v>45</v>
      </c>
      <c r="D5" s="18" t="s">
        <v>38</v>
      </c>
      <c r="E5" s="18" t="s">
        <v>46</v>
      </c>
    </row>
    <row r="6" spans="1:9" ht="25.5" customHeight="1" x14ac:dyDescent="0.2">
      <c r="A6" s="23" t="s">
        <v>3</v>
      </c>
      <c r="B6" s="28" t="s">
        <v>47</v>
      </c>
      <c r="C6" s="29">
        <f>IFERROR(AVERAGEIF(Responses!$B$3:$B$200,$B$3,Responses!$C$3:$C$200),"")</f>
        <v>4</v>
      </c>
      <c r="D6" s="14">
        <f>IFERROR(COUNTIF(Responses!$B$3:$B$200,$B$3),0)</f>
        <v>3</v>
      </c>
      <c r="E6" s="30" t="str">
        <f t="shared" ref="E6:E14" si="0">IFERROR(REPT("■",ROUND(C6,0))&amp;REPT("□",5-ROUND(C6,0)),"")</f>
        <v>■■■■□</v>
      </c>
    </row>
    <row r="7" spans="1:9" ht="25.5" customHeight="1" x14ac:dyDescent="0.2">
      <c r="A7" s="19" t="s">
        <v>4</v>
      </c>
      <c r="B7" s="31" t="s">
        <v>47</v>
      </c>
      <c r="C7" s="32">
        <f>IFERROR(AVERAGEIF(Responses!$B$3:$B$200,$B$3,Responses!$D$3:$D$200),"")</f>
        <v>4.666666666666667</v>
      </c>
      <c r="D7" s="11">
        <f>IFERROR(COUNTIF(Responses!$B$3:$B$200,$B$3),0)</f>
        <v>3</v>
      </c>
      <c r="E7" s="33" t="str">
        <f t="shared" si="0"/>
        <v>■■■■■</v>
      </c>
    </row>
    <row r="8" spans="1:9" ht="25.5" customHeight="1" x14ac:dyDescent="0.2">
      <c r="A8" s="23" t="s">
        <v>5</v>
      </c>
      <c r="B8" s="28" t="s">
        <v>47</v>
      </c>
      <c r="C8" s="29">
        <f>IFERROR(AVERAGEIF(Responses!$B$3:$B$200,$B$3,Responses!$E$3:$E$200),"")</f>
        <v>4</v>
      </c>
      <c r="D8" s="14">
        <f>IFERROR(COUNTIF(Responses!$B$3:$B$200,$B$3),0)</f>
        <v>3</v>
      </c>
      <c r="E8" s="30" t="str">
        <f t="shared" si="0"/>
        <v>■■■■□</v>
      </c>
    </row>
    <row r="9" spans="1:9" ht="25.5" customHeight="1" x14ac:dyDescent="0.2">
      <c r="A9" s="19" t="s">
        <v>6</v>
      </c>
      <c r="B9" s="31" t="s">
        <v>48</v>
      </c>
      <c r="C9" s="32">
        <f>IFERROR(AVERAGEIF(Responses!$B$3:$B$200,$B$3,Responses!$F$3:$F$200),"")</f>
        <v>4.666666666666667</v>
      </c>
      <c r="D9" s="11">
        <f>IFERROR(COUNTIF(Responses!$B$3:$B$200,$B$3),0)</f>
        <v>3</v>
      </c>
      <c r="E9" s="33" t="str">
        <f t="shared" si="0"/>
        <v>■■■■■</v>
      </c>
    </row>
    <row r="10" spans="1:9" ht="25.5" customHeight="1" x14ac:dyDescent="0.2">
      <c r="A10" s="23" t="s">
        <v>7</v>
      </c>
      <c r="B10" s="28" t="s">
        <v>48</v>
      </c>
      <c r="C10" s="29">
        <f>IFERROR(AVERAGEIF(Responses!$B$3:$B$200,$B$3,Responses!$G$3:$G$200),"")</f>
        <v>4</v>
      </c>
      <c r="D10" s="14">
        <f>IFERROR(COUNTIF(Responses!$B$3:$B$200,$B$3),0)</f>
        <v>3</v>
      </c>
      <c r="E10" s="30" t="str">
        <f t="shared" si="0"/>
        <v>■■■■□</v>
      </c>
    </row>
    <row r="11" spans="1:9" ht="25.5" customHeight="1" x14ac:dyDescent="0.2">
      <c r="A11" s="19" t="s">
        <v>8</v>
      </c>
      <c r="B11" s="31" t="s">
        <v>49</v>
      </c>
      <c r="C11" s="32">
        <f>IFERROR(AVERAGEIF(Responses!$B$3:$B$200,$B$3,Responses!$H$3:$H$200),"")</f>
        <v>4.666666666666667</v>
      </c>
      <c r="D11" s="11">
        <f>IFERROR(COUNTIF(Responses!$B$3:$B$200,$B$3),0)</f>
        <v>3</v>
      </c>
      <c r="E11" s="33" t="str">
        <f t="shared" si="0"/>
        <v>■■■■■</v>
      </c>
    </row>
    <row r="12" spans="1:9" ht="25.5" customHeight="1" x14ac:dyDescent="0.2">
      <c r="A12" s="23" t="s">
        <v>9</v>
      </c>
      <c r="B12" s="28" t="s">
        <v>49</v>
      </c>
      <c r="C12" s="29">
        <f>IFERROR(AVERAGEIF(Responses!$B$3:$B$200,$B$3,Responses!$I$3:$I$200),"")</f>
        <v>4.666666666666667</v>
      </c>
      <c r="D12" s="14">
        <f>IFERROR(COUNTIF(Responses!$B$3:$B$200,$B$3),0)</f>
        <v>3</v>
      </c>
      <c r="E12" s="30" t="str">
        <f t="shared" si="0"/>
        <v>■■■■■</v>
      </c>
    </row>
    <row r="13" spans="1:9" ht="25.5" customHeight="1" x14ac:dyDescent="0.2">
      <c r="A13" s="19" t="s">
        <v>10</v>
      </c>
      <c r="B13" s="31" t="s">
        <v>50</v>
      </c>
      <c r="C13" s="32">
        <f>IFERROR(AVERAGEIF(Responses!$B$3:$B$200,$B$3,Responses!$J$3:$J$200),"")</f>
        <v>3.3333333333333335</v>
      </c>
      <c r="D13" s="11">
        <f>IFERROR(COUNTIF(Responses!$B$3:$B$200,$B$3),0)</f>
        <v>3</v>
      </c>
      <c r="E13" s="33" t="str">
        <f t="shared" si="0"/>
        <v>■■■□□</v>
      </c>
    </row>
    <row r="14" spans="1:9" ht="25.5" customHeight="1" x14ac:dyDescent="0.2">
      <c r="A14" s="23" t="s">
        <v>11</v>
      </c>
      <c r="B14" s="28" t="s">
        <v>50</v>
      </c>
      <c r="C14" s="29">
        <f>IFERROR(AVERAGEIF(Responses!$B$3:$B$200,$B$3,Responses!$K$3:$K$200),"")</f>
        <v>4.333333333333333</v>
      </c>
      <c r="D14" s="14">
        <f>IFERROR(COUNTIF(Responses!$B$3:$B$200,$B$3),0)</f>
        <v>3</v>
      </c>
      <c r="E14" s="30" t="str">
        <f t="shared" si="0"/>
        <v>■■■■□</v>
      </c>
    </row>
    <row r="17" spans="1:9" x14ac:dyDescent="0.2">
      <c r="A17" s="5" t="s">
        <v>51</v>
      </c>
      <c r="B17" s="5"/>
      <c r="C17" s="5"/>
      <c r="D17" s="5"/>
      <c r="E17" s="5"/>
      <c r="F17" s="5"/>
      <c r="G17" s="5"/>
      <c r="H17" s="5"/>
      <c r="I17" s="5"/>
    </row>
    <row r="18" spans="1:9" ht="36" customHeight="1" x14ac:dyDescent="0.2">
      <c r="A18" s="4">
        <f>IFERROR(INDEX(Responses!$L$3:$L$200,SMALL(IF(Responses!$B$3:$B$200=$B$3,ROW(Responses!$B$3:$B$200)-2),1)),"")</f>
        <v>0</v>
      </c>
      <c r="B18" s="4"/>
      <c r="C18" s="4"/>
      <c r="D18" s="4"/>
      <c r="E18" s="4"/>
      <c r="F18" s="4"/>
      <c r="G18" s="4"/>
      <c r="H18" s="4"/>
      <c r="I18" s="4"/>
    </row>
    <row r="19" spans="1:9" ht="36" customHeight="1" x14ac:dyDescent="0.2">
      <c r="A19" s="3" t="str">
        <f>IFERROR(INDEX(Responses!$L$3:$L$200,SMALL(IF(Responses!$B$3:$B$200=$B$3,ROW(Responses!$B$3:$B$200)-2),2)),"")</f>
        <v/>
      </c>
      <c r="B19" s="3"/>
      <c r="C19" s="3"/>
      <c r="D19" s="3"/>
      <c r="E19" s="3"/>
      <c r="F19" s="3"/>
      <c r="G19" s="3"/>
      <c r="H19" s="3"/>
      <c r="I19" s="3"/>
    </row>
    <row r="20" spans="1:9" ht="36" customHeight="1" x14ac:dyDescent="0.2">
      <c r="A20" s="4" t="str">
        <f>IFERROR(INDEX(Responses!$L$3:$L$200,SMALL(IF(Responses!$B$3:$B$200=$B$3,ROW(Responses!$B$3:$B$200)-2),3)),"")</f>
        <v/>
      </c>
      <c r="B20" s="4"/>
      <c r="C20" s="4"/>
      <c r="D20" s="4"/>
      <c r="E20" s="4"/>
      <c r="F20" s="4"/>
      <c r="G20" s="4"/>
      <c r="H20" s="4"/>
      <c r="I20" s="4"/>
    </row>
    <row r="21" spans="1:9" ht="36" customHeight="1" x14ac:dyDescent="0.2">
      <c r="A21" s="3" t="str">
        <f>IFERROR(INDEX(Responses!$L$3:$L$200,SMALL(IF(Responses!$B$3:$B$200=$B$3,ROW(Responses!$B$3:$B$200)-2),4)),"")</f>
        <v/>
      </c>
      <c r="B21" s="3"/>
      <c r="C21" s="3"/>
      <c r="D21" s="3"/>
      <c r="E21" s="3"/>
      <c r="F21" s="3"/>
      <c r="G21" s="3"/>
      <c r="H21" s="3"/>
      <c r="I21" s="3"/>
    </row>
    <row r="22" spans="1:9" ht="36" customHeight="1" x14ac:dyDescent="0.2">
      <c r="A22" s="4" t="str">
        <f>IFERROR(INDEX(Responses!$L$3:$L$200,SMALL(IF(Responses!$B$3:$B$200=$B$3,ROW(Responses!$B$3:$B$200)-2),5)),"")</f>
        <v/>
      </c>
      <c r="B22" s="4"/>
      <c r="C22" s="4"/>
      <c r="D22" s="4"/>
      <c r="E22" s="4"/>
      <c r="F22" s="4"/>
      <c r="G22" s="4"/>
      <c r="H22" s="4"/>
      <c r="I22" s="4"/>
    </row>
    <row r="23" spans="1:9" ht="36" customHeight="1" x14ac:dyDescent="0.2">
      <c r="A23" s="3" t="str">
        <f>IFERROR(INDEX(Responses!$L$3:$L$200,SMALL(IF(Responses!$B$3:$B$200=$B$3,ROW(Responses!$B$3:$B$200)-2),6)),"")</f>
        <v/>
      </c>
      <c r="B23" s="3"/>
      <c r="C23" s="3"/>
      <c r="D23" s="3"/>
      <c r="E23" s="3"/>
      <c r="F23" s="3"/>
      <c r="G23" s="3"/>
      <c r="H23" s="3"/>
      <c r="I23" s="3"/>
    </row>
    <row r="24" spans="1:9" ht="36" customHeight="1" x14ac:dyDescent="0.2">
      <c r="A24" s="4" t="str">
        <f>IFERROR(INDEX(Responses!$L$3:$L$200,SMALL(IF(Responses!$B$3:$B$200=$B$3,ROW(Responses!$B$3:$B$200)-2),7)),"")</f>
        <v/>
      </c>
      <c r="B24" s="4"/>
      <c r="C24" s="4"/>
      <c r="D24" s="4"/>
      <c r="E24" s="4"/>
      <c r="F24" s="4"/>
      <c r="G24" s="4"/>
      <c r="H24" s="4"/>
      <c r="I24" s="4"/>
    </row>
    <row r="25" spans="1:9" ht="36" customHeight="1" x14ac:dyDescent="0.2">
      <c r="A25" s="3" t="str">
        <f>IFERROR(INDEX(Responses!$L$3:$L$200,SMALL(IF(Responses!$B$3:$B$200=$B$3,ROW(Responses!$B$3:$B$200)-2),8)),"")</f>
        <v/>
      </c>
      <c r="B25" s="3"/>
      <c r="C25" s="3"/>
      <c r="D25" s="3"/>
      <c r="E25" s="3"/>
      <c r="F25" s="3"/>
      <c r="G25" s="3"/>
      <c r="H25" s="3"/>
      <c r="I25" s="3"/>
    </row>
    <row r="27" spans="1:9" x14ac:dyDescent="0.2">
      <c r="A27" s="2" t="s">
        <v>52</v>
      </c>
      <c r="B27" s="2"/>
      <c r="C27" s="2"/>
      <c r="D27" s="2"/>
      <c r="E27" s="2"/>
      <c r="F27" s="2"/>
      <c r="G27" s="2"/>
      <c r="H27" s="2"/>
      <c r="I27" s="2"/>
    </row>
    <row r="28" spans="1:9" ht="36" customHeight="1" x14ac:dyDescent="0.2">
      <c r="A28" s="1">
        <f>IFERROR(INDEX(Responses!$M$3:$M$200,SMALL(IF(Responses!$B$3:$B$200=$B$3,ROW(Responses!$B$3:$B$200)-2),1)),"")</f>
        <v>0</v>
      </c>
      <c r="B28" s="1"/>
      <c r="C28" s="1"/>
      <c r="D28" s="1"/>
      <c r="E28" s="1"/>
      <c r="F28" s="1"/>
      <c r="G28" s="1"/>
      <c r="H28" s="1"/>
      <c r="I28" s="1"/>
    </row>
    <row r="29" spans="1:9" ht="36" customHeight="1" x14ac:dyDescent="0.2">
      <c r="A29" s="3" t="str">
        <f>IFERROR(INDEX(Responses!$M$3:$M$200,SMALL(IF(Responses!$B$3:$B$200=$B$3,ROW(Responses!$B$3:$B$200)-2),2)),"")</f>
        <v/>
      </c>
      <c r="B29" s="3"/>
      <c r="C29" s="3"/>
      <c r="D29" s="3"/>
      <c r="E29" s="3"/>
      <c r="F29" s="3"/>
      <c r="G29" s="3"/>
      <c r="H29" s="3"/>
      <c r="I29" s="3"/>
    </row>
    <row r="30" spans="1:9" ht="36" customHeight="1" x14ac:dyDescent="0.2">
      <c r="A30" s="1" t="str">
        <f>IFERROR(INDEX(Responses!$M$3:$M$200,SMALL(IF(Responses!$B$3:$B$200=$B$3,ROW(Responses!$B$3:$B$200)-2),3)),"")</f>
        <v/>
      </c>
      <c r="B30" s="1"/>
      <c r="C30" s="1"/>
      <c r="D30" s="1"/>
      <c r="E30" s="1"/>
      <c r="F30" s="1"/>
      <c r="G30" s="1"/>
      <c r="H30" s="1"/>
      <c r="I30" s="1"/>
    </row>
    <row r="31" spans="1:9" ht="36" customHeight="1" x14ac:dyDescent="0.2">
      <c r="A31" s="3" t="str">
        <f>IFERROR(INDEX(Responses!$M$3:$M$200,SMALL(IF(Responses!$B$3:$B$200=$B$3,ROW(Responses!$B$3:$B$200)-2),4)),"")</f>
        <v/>
      </c>
      <c r="B31" s="3"/>
      <c r="C31" s="3"/>
      <c r="D31" s="3"/>
      <c r="E31" s="3"/>
      <c r="F31" s="3"/>
      <c r="G31" s="3"/>
      <c r="H31" s="3"/>
      <c r="I31" s="3"/>
    </row>
    <row r="32" spans="1:9" ht="36" customHeight="1" x14ac:dyDescent="0.2">
      <c r="A32" s="1" t="str">
        <f>IFERROR(INDEX(Responses!$M$3:$M$200,SMALL(IF(Responses!$B$3:$B$200=$B$3,ROW(Responses!$B$3:$B$200)-2),5)),"")</f>
        <v/>
      </c>
      <c r="B32" s="1"/>
      <c r="C32" s="1"/>
      <c r="D32" s="1"/>
      <c r="E32" s="1"/>
      <c r="F32" s="1"/>
      <c r="G32" s="1"/>
      <c r="H32" s="1"/>
      <c r="I32" s="1"/>
    </row>
    <row r="33" spans="1:9" ht="36" customHeight="1" x14ac:dyDescent="0.2">
      <c r="A33" s="3" t="str">
        <f>IFERROR(INDEX(Responses!$M$3:$M$200,SMALL(IF(Responses!$B$3:$B$200=$B$3,ROW(Responses!$B$3:$B$200)-2),6)),"")</f>
        <v/>
      </c>
      <c r="B33" s="3"/>
      <c r="C33" s="3"/>
      <c r="D33" s="3"/>
      <c r="E33" s="3"/>
      <c r="F33" s="3"/>
      <c r="G33" s="3"/>
      <c r="H33" s="3"/>
      <c r="I33" s="3"/>
    </row>
    <row r="34" spans="1:9" ht="36" customHeight="1" x14ac:dyDescent="0.2">
      <c r="A34" s="1" t="str">
        <f>IFERROR(INDEX(Responses!$M$3:$M$200,SMALL(IF(Responses!$B$3:$B$200=$B$3,ROW(Responses!$B$3:$B$200)-2),7)),"")</f>
        <v/>
      </c>
      <c r="B34" s="1"/>
      <c r="C34" s="1"/>
      <c r="D34" s="1"/>
      <c r="E34" s="1"/>
      <c r="F34" s="1"/>
      <c r="G34" s="1"/>
      <c r="H34" s="1"/>
      <c r="I34" s="1"/>
    </row>
    <row r="35" spans="1:9" ht="36" customHeight="1" x14ac:dyDescent="0.2">
      <c r="A35" s="3" t="str">
        <f>IFERROR(INDEX(Responses!$M$3:$M$200,SMALL(IF(Responses!$B$3:$B$200=$B$3,ROW(Responses!$B$3:$B$200)-2),8)),"")</f>
        <v/>
      </c>
      <c r="B35" s="3"/>
      <c r="C35" s="3"/>
      <c r="D35" s="3"/>
      <c r="E35" s="3"/>
      <c r="F35" s="3"/>
      <c r="G35" s="3"/>
      <c r="H35" s="3"/>
      <c r="I35" s="3"/>
    </row>
  </sheetData>
  <mergeCells count="20">
    <mergeCell ref="A31:I31"/>
    <mergeCell ref="A32:I32"/>
    <mergeCell ref="A33:I33"/>
    <mergeCell ref="A34:I34"/>
    <mergeCell ref="A35:I35"/>
    <mergeCell ref="A25:I25"/>
    <mergeCell ref="A27:I27"/>
    <mergeCell ref="A28:I28"/>
    <mergeCell ref="A29:I29"/>
    <mergeCell ref="A30:I30"/>
    <mergeCell ref="A20:I20"/>
    <mergeCell ref="A21:I21"/>
    <mergeCell ref="A22:I22"/>
    <mergeCell ref="A23:I23"/>
    <mergeCell ref="A24:I24"/>
    <mergeCell ref="A1:I1"/>
    <mergeCell ref="A2:I2"/>
    <mergeCell ref="A17:I17"/>
    <mergeCell ref="A18:I18"/>
    <mergeCell ref="A19:I19"/>
  </mergeCells>
  <conditionalFormatting sqref="C6:C14">
    <cfRule type="colorScale" priority="2">
      <colorScale>
        <cfvo type="num" val="1"/>
        <cfvo type="num" val="3"/>
        <cfvo type="num" val="5"/>
        <color rgb="FFDC2626"/>
        <color rgb="FFD97706"/>
        <color rgb="FF059669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Responses</vt:lpstr>
      <vt:lpstr>Dashboard</vt:lpstr>
      <vt:lpstr>Subject 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Nathan Pitman</cp:lastModifiedBy>
  <cp:revision>1</cp:revision>
  <dcterms:created xsi:type="dcterms:W3CDTF">2026-03-22T18:31:06Z</dcterms:created>
  <dcterms:modified xsi:type="dcterms:W3CDTF">2026-03-23T14:00:30Z</dcterms:modified>
  <dc:language>en-US</dc:language>
</cp:coreProperties>
</file>