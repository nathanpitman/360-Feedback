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3380" yWindow="2840" windowWidth="30660" windowHeight="16000" tabRatio="500" firstSheet="0" activeTab="0" autoFilterDateGrouping="1"/>
  </bookViews>
  <sheets>
    <sheet name="Responses" sheetId="1" state="visible" r:id="rId1"/>
    <sheet name="Dashboard" sheetId="2" state="visible" r:id="rId2"/>
    <sheet name="Subject Detail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i val="1"/>
      <color rgb="FF9CA3AF"/>
      <sz val="9"/>
    </font>
    <font>
      <name val="Arial"/>
      <family val="2"/>
      <b val="1"/>
      <color rgb="FFFFFFFF"/>
      <sz val="14"/>
    </font>
    <font>
      <name val="Arial"/>
      <family val="2"/>
      <i val="1"/>
      <color rgb="FF6B7280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b val="1"/>
      <color rgb="FF4F46E5"/>
      <sz val="11"/>
    </font>
    <font>
      <name val="Arial"/>
      <family val="2"/>
      <color rgb="FF6B7280"/>
      <sz val="9"/>
    </font>
    <font>
      <name val="Arial"/>
      <family val="2"/>
      <color rgb="FF4F46E5"/>
      <sz val="11"/>
    </font>
    <font>
      <name val="Arial"/>
      <family val="2"/>
      <i val="1"/>
      <sz val="9"/>
    </font>
  </fonts>
  <fills count="9">
    <fill>
      <patternFill/>
    </fill>
    <fill>
      <patternFill patternType="gray125"/>
    </fill>
    <fill>
      <patternFill patternType="solid">
        <fgColor rgb="FF111827"/>
        <bgColor rgb="FF000000"/>
      </patternFill>
    </fill>
    <fill>
      <patternFill patternType="solid">
        <fgColor rgb="FF4F46E5"/>
        <bgColor rgb="FF333399"/>
      </patternFill>
    </fill>
    <fill>
      <patternFill patternType="solid">
        <fgColor rgb="FFF9FAFB"/>
        <bgColor rgb="FFF9F9F9"/>
      </patternFill>
    </fill>
    <fill>
      <patternFill patternType="solid">
        <fgColor rgb="FFFFFFFF"/>
        <bgColor rgb="FFF9FAFB"/>
      </patternFill>
    </fill>
    <fill>
      <patternFill patternType="solid">
        <fgColor rgb="FF059669"/>
        <bgColor rgb="FF008080"/>
      </patternFill>
    </fill>
    <fill>
      <patternFill patternType="solid">
        <fgColor rgb="FFF0FDF4"/>
        <bgColor rgb="FFF9FAFB"/>
      </patternFill>
    </fill>
    <fill>
      <patternFill patternType="solid">
        <fgColor rgb="FFEEF2FF"/>
        <bgColor rgb="FFF9F9F9"/>
      </patternFill>
    </fill>
  </fills>
  <borders count="1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/>
      <right/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4" fillId="8" borderId="2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left" vertical="center"/>
    </xf>
    <xf numFmtId="0" fontId="14" fillId="5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2" fillId="6" borderId="2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" fillId="2" borderId="4" applyAlignment="1" pivotButton="0" quotePrefix="0" xfId="0">
      <alignment horizontal="left" vertical="center"/>
    </xf>
    <xf numFmtId="0" fontId="3" fillId="4" borderId="3" applyAlignment="1" pivotButton="0" quotePrefix="0" xfId="0">
      <alignment horizontal="left" vertical="center"/>
    </xf>
    <xf numFmtId="0" fontId="3" fillId="5" borderId="3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left" vertical="center"/>
    </xf>
    <xf numFmtId="0" fontId="3" fillId="5" borderId="9" applyAlignment="1" pivotButton="0" quotePrefix="0" xfId="0">
      <alignment horizontal="left" vertical="center"/>
    </xf>
    <xf numFmtId="0" fontId="3" fillId="5" borderId="9" applyAlignment="1" pivotButton="0" quotePrefix="0" xfId="0">
      <alignment horizontal="center" vertical="center"/>
    </xf>
    <xf numFmtId="0" fontId="3" fillId="5" borderId="9" applyAlignment="1" pivotButton="0" quotePrefix="0" xfId="0">
      <alignment horizontal="left" vertical="center" wrapText="1"/>
    </xf>
    <xf numFmtId="0" fontId="3" fillId="5" borderId="1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12" pivotButton="0" quotePrefix="0" xfId="0"/>
  </cellXfs>
  <cellStyles count="1">
    <cellStyle name="Normal" xfId="0" builtinId="0"/>
  </cellStyles>
  <dxfs count="18">
    <dxf>
      <font>
        <name val="Arial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rgb="FF333399"/>
          <bgColor rgb="FF4F46E5"/>
        </patternFill>
      </fill>
      <alignment horizontal="center" vertical="center" wrapText="1"/>
      <border outline="0">
        <left style="thin">
          <color rgb="FFE5E7EB"/>
        </left>
        <right style="thin">
          <color rgb="FFE5E7EB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left" vertical="center" wrapText="1"/>
      <border>
        <left style="thin">
          <color rgb="FFE5E7EB"/>
        </left>
        <right/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left" vertical="center" wrapText="1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center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left" vertical="center"/>
      <border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F9FAFB"/>
          <bgColor rgb="FFFFFFFF"/>
        </patternFill>
      </fill>
      <alignment horizontal="left" vertical="center"/>
      <border>
        <left/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border outline="0">
        <top style="thin">
          <color rgb="FFE5E7EB"/>
        </top>
      </border>
    </dxf>
    <dxf>
      <border outline="0">
        <bottom style="thin">
          <color rgb="FFE5E7EB"/>
        </bottom>
      </border>
    </dxf>
    <dxf>
      <border outline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59669"/>
      <rgbColor rgb="FFB8CD97"/>
      <rgbColor rgb="FF878787"/>
      <rgbColor rgb="FF93A9CE"/>
      <rgbColor rgb="FF6B7280"/>
      <rgbColor rgb="FFF0FDF4"/>
      <rgbColor rgb="FFEEF2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9F9"/>
      <rgbColor rgb="FFF9FAFB"/>
      <rgbColor rgb="FF99CCFF"/>
      <rgbColor rgb="FFD09493"/>
      <rgbColor rgb="FFCC99FF"/>
      <rgbColor rgb="FFFFCC99"/>
      <rgbColor rgb="FF4F46E5"/>
      <rgbColor rgb="FF10B981"/>
      <rgbColor rgb="FF99CC00"/>
      <rgbColor rgb="FFFFCC00"/>
      <rgbColor rgb="FFFF9900"/>
      <rgbColor rgb="FFFF6600"/>
      <rgbColor rgb="FF725990"/>
      <rgbColor rgb="FF9CA3AF"/>
      <rgbColor rgb="FF003366"/>
      <rgbColor rgb="FF4299B0"/>
      <rgbColor rgb="FF11182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Competency Scores by Subject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Dashboard!$B$4</f>
              <strCache>
                <ptCount val="1"/>
                <pt idx="0">
                  <v>Future Focused</v>
                </pt>
              </strCache>
            </strRef>
          </tx>
          <spPr>
            <a:solidFill>
              <a:srgbClr val="4F46E5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Dashboard!$B$5:$B$6</f>
              <numCache>
                <formatCode>0.0</formatCode>
                <ptCount val="2"/>
                <pt idx="0">
                  <v>4</v>
                </pt>
                <pt idx="1">
                  <v>4.666666666666667</v>
                </pt>
              </numCache>
            </numRef>
          </val>
        </ser>
        <ser>
          <idx val="1"/>
          <order val="1"/>
          <tx>
            <strRef>
              <f>Dashboard!$C$4</f>
              <strCache>
                <ptCount val="1"/>
                <pt idx="0">
                  <v>Adaptability</v>
                </pt>
              </strCache>
            </strRef>
          </tx>
          <spPr>
            <a:solidFill>
              <a:srgbClr val="10B981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Dashboard!$C$5:$C$6</f>
              <numCache>
                <formatCode>0.0</formatCode>
                <ptCount val="2"/>
                <pt idx="0">
                  <v>4.666666666666667</v>
                </pt>
                <pt idx="1">
                  <v>4.333333333333333</v>
                </pt>
              </numCache>
            </numRef>
          </val>
        </ser>
        <ser>
          <idx val="2"/>
          <order val="2"/>
          <tx>
            <strRef>
              <f>Dashboard!$D$4</f>
              <strCache>
                <ptCount val="1"/>
                <pt idx="0">
                  <v>Positive Outlook</v>
                </pt>
              </strCache>
            </strRef>
          </tx>
          <spPr>
            <a:solidFill>
              <a:srgbClr val="8AA64F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Dashboard!$D$5:$D$6</f>
              <numCache>
                <formatCode>0.0</formatCode>
                <ptCount val="2"/>
                <pt idx="0">
                  <v>4</v>
                </pt>
                <pt idx="1">
                  <v>4.333333333333333</v>
                </pt>
              </numCache>
            </numRef>
          </val>
        </ser>
        <ser>
          <idx val="3"/>
          <order val="3"/>
          <tx>
            <strRef>
              <f>Dashboard!$E$4</f>
              <strCache>
                <ptCount val="1"/>
                <pt idx="0">
                  <v>Communication</v>
                </pt>
              </strCache>
            </strRef>
          </tx>
          <spPr>
            <a:solidFill>
              <a:srgbClr val="725990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Dashboard!$E$5:$E$6</f>
              <numCache>
                <formatCode>0.0</formatCode>
                <ptCount val="2"/>
                <pt idx="0">
                  <v>4.666666666666667</v>
                </pt>
                <pt idx="1">
                  <v>4.333333333333333</v>
                </pt>
              </numCache>
            </numRef>
          </val>
        </ser>
        <ser>
          <idx val="4"/>
          <order val="4"/>
          <tx>
            <strRef>
              <f>Dashboard!$F$4</f>
              <strCache>
                <ptCount val="1"/>
                <pt idx="0">
                  <v>Empathy</v>
                </pt>
              </strCache>
            </strRef>
          </tx>
          <spPr>
            <a:solidFill>
              <a:srgbClr val="4299B0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Dashboard!$F$5:$F$6</f>
              <numCache>
                <formatCode>0.0</formatCode>
                <ptCount val="2"/>
                <pt idx="0">
                  <v>4</v>
                </pt>
                <pt idx="1">
                  <v>4.666666666666667</v>
                </pt>
              </numCache>
            </numRef>
          </val>
        </ser>
        <ser>
          <idx val="5"/>
          <order val="5"/>
          <tx>
            <strRef>
              <f>Dashboard!$G$4</f>
              <strCache>
                <ptCount val="1"/>
                <pt idx="0">
                  <v>Teamwork</v>
                </pt>
              </strCache>
            </strRef>
          </tx>
          <spPr>
            <a:solidFill>
              <a:srgbClr val="DC853E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Dashboard!$G$5:$G$6</f>
              <numCache>
                <formatCode>0.0</formatCode>
                <ptCount val="2"/>
                <pt idx="0">
                  <v>4.666666666666667</v>
                </pt>
                <pt idx="1">
                  <v>4.666666666666667</v>
                </pt>
              </numCache>
            </numRef>
          </val>
        </ser>
        <ser>
          <idx val="6"/>
          <order val="6"/>
          <tx>
            <strRef>
              <f>Dashboard!$H$4</f>
              <strCache>
                <ptCount val="1"/>
                <pt idx="0">
                  <v>Stakeholder Management</v>
                </pt>
              </strCache>
            </strRef>
          </tx>
          <spPr>
            <a:solidFill>
              <a:srgbClr val="93A9CE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Dashboard!$H$5:$H$6</f>
              <numCache>
                <formatCode>0.0</formatCode>
                <ptCount val="2"/>
                <pt idx="0">
                  <v>4.666666666666667</v>
                </pt>
                <pt idx="1">
                  <v>4.333333333333333</v>
                </pt>
              </numCache>
            </numRef>
          </val>
        </ser>
        <ser>
          <idx val="7"/>
          <order val="7"/>
          <tx>
            <strRef>
              <f>Dashboard!$I$4</f>
              <strCache>
                <ptCount val="1"/>
                <pt idx="0">
                  <v>Planning &amp; Problem Solving</v>
                </pt>
              </strCache>
            </strRef>
          </tx>
          <spPr>
            <a:solidFill>
              <a:srgbClr val="D09493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Dashboard!$I$5:$I$6</f>
              <numCache>
                <formatCode>0.0</formatCode>
                <ptCount val="2"/>
                <pt idx="0">
                  <v>3.333333333333333</v>
                </pt>
                <pt idx="1">
                  <v>4.666666666666667</v>
                </pt>
              </numCache>
            </numRef>
          </val>
        </ser>
        <ser>
          <idx val="8"/>
          <order val="8"/>
          <tx>
            <strRef>
              <f>Dashboard!$J$4</f>
              <strCache>
                <ptCount val="1"/>
                <pt idx="0">
                  <v>Inspirational Leadership</v>
                </pt>
              </strCache>
            </strRef>
          </tx>
          <spPr>
            <a:solidFill>
              <a:srgbClr val="B8CD97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Dashboard!$B$4:$J$4</f>
              <strCache>
                <ptCount val="9"/>
                <pt idx="0">
                  <v>Future Focused</v>
                </pt>
                <pt idx="1">
                  <v>Adaptability</v>
                </pt>
                <pt idx="2">
                  <v>Positive Outlook</v>
                </pt>
                <pt idx="3">
                  <v>Communication</v>
                </pt>
                <pt idx="4">
                  <v>Empathy</v>
                </pt>
                <pt idx="5">
                  <v>Teamwork</v>
                </pt>
                <pt idx="6">
                  <v>Stakeholder Management</v>
                </pt>
                <pt idx="7">
                  <v>Planning &amp; Problem Solving</v>
                </pt>
                <pt idx="8">
                  <v>Inspirational Leadership</v>
                </pt>
              </strCache>
            </strRef>
          </cat>
          <val>
            <numRef>
              <f>Dashboard!$J$5:$J$6</f>
              <numCache>
                <formatCode>0.0</formatCode>
                <ptCount val="2"/>
                <pt idx="0">
                  <v>4.333333333333333</v>
                </pt>
                <pt idx="1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8858589"/>
        <axId val="93388422"/>
      </barChart>
      <catAx>
        <axId val="2885858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93388422"/>
        <crosses val="autoZero"/>
        <auto val="1"/>
        <lblAlgn val="ctr"/>
        <lblOffset val="100"/>
        <noMultiLvlLbl val="0"/>
      </catAx>
      <valAx>
        <axId val="93388422"/>
        <scaling>
          <orientation val="minMax"/>
          <max val="5"/>
          <min val="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Average Score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2885858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7</row>
      <rowOff>0</rowOff>
    </from>
    <to>
      <col>8</col>
      <colOff>675000</colOff>
      <row>31</row>
      <rowOff>107640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eedbackResponses" displayName="FeedbackResponses" ref="A2:N8" headerRowCount="1" totalsRowShown="0" headerRowDxfId="0" dataDxfId="1" headerRowBorderDxfId="16" tableBorderDxfId="17" totalsRowBorderDxfId="15">
  <autoFilter ref="A2:M8"/>
  <tableColumns count="13">
    <tableColumn id="1" name="Timestamp" dataDxfId="14"/>
    <tableColumn id="2" name="Subject Name" dataDxfId="13"/>
    <tableColumn id="3" name="Future Focused" dataDxfId="12"/>
    <tableColumn id="4" name="Adaptability" dataDxfId="11"/>
    <tableColumn id="5" name="Positive Outlook" dataDxfId="10"/>
    <tableColumn id="6" name="Communication" dataDxfId="9"/>
    <tableColumn id="7" name="Empathy" dataDxfId="8"/>
    <tableColumn id="8" name="Teamwork" dataDxfId="7"/>
    <tableColumn id="9" name="Stakeholder Management" dataDxfId="6"/>
    <tableColumn id="10" name="Planning &amp; Problem Solving" dataDxfId="5"/>
    <tableColumn id="11" name="Inspirational Leadership" dataDxfId="4"/>
    <tableColumn id="12" name="Strengths" dataDxfId="3"/>
    <tableColumn id="13" name="Development Area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tabSelected="1" zoomScaleNormal="100" workbookViewId="0">
      <pane ySplit="2" topLeftCell="A3" activePane="bottomLeft" state="frozen"/>
      <selection pane="bottomLeft" activeCell="E7" sqref="E7"/>
    </sheetView>
  </sheetViews>
  <sheetFormatPr baseColWidth="10" defaultColWidth="8.6640625" defaultRowHeight="15"/>
  <cols>
    <col width="20" customWidth="1" min="1" max="1"/>
    <col width="22" customWidth="1" min="2" max="2"/>
    <col width="16.1640625" customWidth="1" min="3" max="3"/>
    <col width="15" customWidth="1" min="4" max="4"/>
    <col width="17" customWidth="1" min="5" max="5"/>
    <col width="16.1640625" customWidth="1" min="6" max="6"/>
    <col width="15" customWidth="1" min="7" max="8"/>
    <col width="24.1640625" customWidth="1" min="9" max="9"/>
    <col width="26.33203125" customWidth="1" min="10" max="10"/>
    <col width="23.33203125" customWidth="1" min="11" max="11"/>
    <col width="45" customWidth="1" min="12" max="13"/>
  </cols>
  <sheetData>
    <row r="1" ht="31.5" customHeight="1">
      <c r="A1" s="34" t="inlineStr">
        <is>
          <t>360° Feedback — Responses</t>
        </is>
      </c>
      <c r="B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</row>
    <row r="2" ht="36" customHeight="1">
      <c r="A2" s="39" t="inlineStr">
        <is>
          <t>Timestamp</t>
        </is>
      </c>
      <c r="B2" s="40" t="inlineStr">
        <is>
          <t>Subject Name</t>
        </is>
      </c>
      <c r="C2" s="40" t="inlineStr">
        <is>
          <t>Form ID</t>
        </is>
      </c>
      <c r="D2" s="40" t="inlineStr">
        <is>
          <t>Future Focused</t>
        </is>
      </c>
      <c r="E2" s="40" t="inlineStr">
        <is>
          <t>Adaptability</t>
        </is>
      </c>
      <c r="F2" s="40" t="inlineStr">
        <is>
          <t>Positive Outlook</t>
        </is>
      </c>
      <c r="G2" s="40" t="inlineStr">
        <is>
          <t>Communication</t>
        </is>
      </c>
      <c r="H2" s="40" t="inlineStr">
        <is>
          <t>Empathy</t>
        </is>
      </c>
      <c r="I2" s="40" t="inlineStr">
        <is>
          <t>Teamwork</t>
        </is>
      </c>
      <c r="J2" s="40" t="inlineStr">
        <is>
          <t>Stakeholder Management</t>
        </is>
      </c>
      <c r="K2" s="40" t="inlineStr">
        <is>
          <t>Planning &amp; Problem Solving</t>
        </is>
      </c>
      <c r="L2" s="40" t="inlineStr">
        <is>
          <t>Inspirational Leadership</t>
        </is>
      </c>
      <c r="M2" s="40" t="inlineStr">
        <is>
          <t>Strengths</t>
        </is>
      </c>
      <c r="N2" s="41" t="inlineStr">
        <is>
          <t>Development Areas</t>
        </is>
      </c>
    </row>
    <row r="3" ht="25.5" customHeight="1">
      <c r="A3" s="35" t="inlineStr">
        <is>
          <t>2024-06-01 09:12</t>
        </is>
      </c>
      <c r="B3" s="10" t="inlineStr">
        <is>
          <t>Alex Johnson</t>
        </is>
      </c>
      <c r="D3" s="11" t="n">
        <v>4</v>
      </c>
      <c r="E3" s="11" t="n">
        <v>5</v>
      </c>
      <c r="F3" s="11" t="n">
        <v>3</v>
      </c>
      <c r="G3" s="11" t="n">
        <v>5</v>
      </c>
      <c r="H3" s="11" t="n">
        <v>4</v>
      </c>
      <c r="I3" s="11" t="n">
        <v>4</v>
      </c>
      <c r="J3" s="11" t="n">
        <v>5</v>
      </c>
      <c r="K3" s="11" t="n">
        <v>3</v>
      </c>
      <c r="L3" s="11" t="n">
        <v>4</v>
      </c>
      <c r="M3" s="12" t="inlineStr">
        <is>
          <t>Strong communicator. Follows through.</t>
        </is>
      </c>
      <c r="N3" s="37" t="inlineStr">
        <is>
          <t>Could delegate more.</t>
        </is>
      </c>
    </row>
    <row r="4" ht="25.5" customHeight="1">
      <c r="A4" s="36" t="inlineStr">
        <is>
          <t>2024-06-01 11:45</t>
        </is>
      </c>
      <c r="B4" s="13" t="inlineStr">
        <is>
          <t>Alex Johnson</t>
        </is>
      </c>
      <c r="D4" s="14" t="n">
        <v>5</v>
      </c>
      <c r="E4" s="14" t="n">
        <v>5</v>
      </c>
      <c r="F4" s="14" t="n">
        <v>4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4</v>
      </c>
      <c r="L4" s="14" t="n">
        <v>5</v>
      </c>
      <c r="M4" s="15" t="inlineStr">
        <is>
          <t>Exceptional leadership presence.</t>
        </is>
      </c>
      <c r="N4" s="38" t="inlineStr">
        <is>
          <t>More structured planning docs.</t>
        </is>
      </c>
    </row>
    <row r="5" ht="25.5" customHeight="1">
      <c r="A5" s="35" t="inlineStr">
        <is>
          <t>2024-06-01 14:30</t>
        </is>
      </c>
      <c r="B5" s="10" t="inlineStr">
        <is>
          <t>Alex Johnson</t>
        </is>
      </c>
      <c r="D5" s="11" t="n">
        <v>3</v>
      </c>
      <c r="E5" s="11" t="n">
        <v>4</v>
      </c>
      <c r="F5" s="11" t="n">
        <v>5</v>
      </c>
      <c r="G5" s="11" t="n">
        <v>4</v>
      </c>
      <c r="H5" s="11" t="n">
        <v>3</v>
      </c>
      <c r="I5" s="11" t="n">
        <v>5</v>
      </c>
      <c r="J5" s="11" t="n">
        <v>4</v>
      </c>
      <c r="K5" s="11" t="n">
        <v>3</v>
      </c>
      <c r="L5" s="11" t="n">
        <v>4</v>
      </c>
      <c r="M5" s="12" t="inlineStr">
        <is>
          <t>Keeps spirits high under pressure.</t>
        </is>
      </c>
      <c r="N5" s="37" t="inlineStr">
        <is>
          <t>More visibility on strategy.</t>
        </is>
      </c>
    </row>
    <row r="6" ht="25.5" customHeight="1">
      <c r="A6" s="36" t="inlineStr">
        <is>
          <t>2024-06-02 08:55</t>
        </is>
      </c>
      <c r="B6" s="13" t="inlineStr">
        <is>
          <t>Sam Patel</t>
        </is>
      </c>
      <c r="D6" s="14" t="n">
        <v>5</v>
      </c>
      <c r="E6" s="14" t="n">
        <v>4</v>
      </c>
      <c r="F6" s="14" t="n">
        <v>4</v>
      </c>
      <c r="G6" s="14" t="n">
        <v>4</v>
      </c>
      <c r="H6" s="14" t="n">
        <v>5</v>
      </c>
      <c r="I6" s="14" t="n">
        <v>5</v>
      </c>
      <c r="J6" s="14" t="n">
        <v>4</v>
      </c>
      <c r="K6" s="14" t="n">
        <v>5</v>
      </c>
      <c r="L6" s="14" t="n">
        <v>3</v>
      </c>
      <c r="M6" s="15" t="inlineStr">
        <is>
          <t>Deep analytical thinker.</t>
        </is>
      </c>
      <c r="N6" s="38" t="inlineStr">
        <is>
          <t>More confidence presenting ideas.</t>
        </is>
      </c>
    </row>
    <row r="7" ht="25.5" customHeight="1">
      <c r="A7" s="35" t="inlineStr">
        <is>
          <t>2024-06-02 10:20</t>
        </is>
      </c>
      <c r="B7" s="10" t="inlineStr">
        <is>
          <t>Sam Patel</t>
        </is>
      </c>
      <c r="D7" s="11" t="n">
        <v>4</v>
      </c>
      <c r="E7" s="11" t="n">
        <v>4</v>
      </c>
      <c r="F7" s="11" t="n">
        <v>5</v>
      </c>
      <c r="G7" s="11" t="n">
        <v>4</v>
      </c>
      <c r="H7" s="11" t="n">
        <v>4</v>
      </c>
      <c r="I7" s="11" t="n">
        <v>4</v>
      </c>
      <c r="J7" s="11" t="n">
        <v>5</v>
      </c>
      <c r="K7" s="11" t="n">
        <v>5</v>
      </c>
      <c r="L7" s="11" t="n">
        <v>4</v>
      </c>
      <c r="M7" s="12" t="inlineStr">
        <is>
          <t>Excellent stakeholder relationships.</t>
        </is>
      </c>
      <c r="N7" s="37" t="inlineStr">
        <is>
          <t>Proactive comms could be stronger.</t>
        </is>
      </c>
    </row>
    <row r="8" ht="25.5" customHeight="1">
      <c r="A8" s="42" t="inlineStr">
        <is>
          <t>2024-06-02 15:00</t>
        </is>
      </c>
      <c r="B8" s="43" t="inlineStr">
        <is>
          <t>Sam Patel</t>
        </is>
      </c>
      <c r="D8" s="44" t="n">
        <v>5</v>
      </c>
      <c r="E8" s="44" t="n">
        <v>5</v>
      </c>
      <c r="F8" s="44" t="n">
        <v>4</v>
      </c>
      <c r="G8" s="44" t="n">
        <v>5</v>
      </c>
      <c r="H8" s="44" t="n">
        <v>5</v>
      </c>
      <c r="I8" s="44" t="n">
        <v>5</v>
      </c>
      <c r="J8" s="44" t="n">
        <v>4</v>
      </c>
      <c r="K8" s="44" t="n">
        <v>4</v>
      </c>
      <c r="L8" s="44" t="n">
        <v>5</v>
      </c>
      <c r="M8" s="45" t="inlineStr">
        <is>
          <t>Empathetic, makes time for the team.</t>
        </is>
      </c>
      <c r="N8" s="46" t="inlineStr">
        <is>
          <t>More regular 1:1s.</t>
        </is>
      </c>
    </row>
    <row r="9"/>
    <row r="10">
      <c r="A10" s="8" t="inlineStr">
        <is>
          <t>Rows added automatically by Power Automate. Do not manually edit column structure.</t>
        </is>
      </c>
    </row>
  </sheetData>
  <mergeCells count="2">
    <mergeCell ref="A1:M1"/>
    <mergeCell ref="A10:M10"/>
  </mergeCells>
  <conditionalFormatting sqref="C3:K8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zoomScaleNormal="100" workbookViewId="0">
      <selection activeCell="E5" sqref="E5"/>
    </sheetView>
  </sheetViews>
  <sheetFormatPr baseColWidth="10" defaultColWidth="8.6640625" defaultRowHeight="15"/>
  <cols>
    <col width="22" customWidth="1" min="1" max="1"/>
    <col width="13" customWidth="1" min="2" max="12"/>
  </cols>
  <sheetData>
    <row r="1" ht="36" customHeight="1">
      <c r="A1" s="7" t="inlineStr">
        <is>
          <t>360° Feedback — Dashboard</t>
        </is>
      </c>
    </row>
    <row r="2" ht="19.5" customHeight="1">
      <c r="A2" s="6" t="inlineStr">
        <is>
          <t>Average scores per competency by subject (1–5 scale) · Updates live as submissions arrive</t>
        </is>
      </c>
    </row>
    <row r="4" ht="42" customHeight="1">
      <c r="A4" s="16" t="inlineStr">
        <is>
          <t>Subject</t>
        </is>
      </c>
      <c r="B4" s="17" t="inlineStr">
        <is>
          <t>Future Focused</t>
        </is>
      </c>
      <c r="C4" s="17" t="inlineStr">
        <is>
          <t>Adaptability</t>
        </is>
      </c>
      <c r="D4" s="17" t="inlineStr">
        <is>
          <t>Positive Outlook</t>
        </is>
      </c>
      <c r="E4" s="17" t="inlineStr">
        <is>
          <t>Communication</t>
        </is>
      </c>
      <c r="F4" s="17" t="inlineStr">
        <is>
          <t>Empathy</t>
        </is>
      </c>
      <c r="G4" s="17" t="inlineStr">
        <is>
          <t>Teamwork</t>
        </is>
      </c>
      <c r="H4" s="17" t="inlineStr">
        <is>
          <t>Stakeholder Management</t>
        </is>
      </c>
      <c r="I4" s="17" t="inlineStr">
        <is>
          <t>Planning &amp; Problem Solving</t>
        </is>
      </c>
      <c r="J4" s="17" t="inlineStr">
        <is>
          <t>Inspirational Leadership</t>
        </is>
      </c>
      <c r="K4" s="18" t="inlineStr">
        <is>
          <t>Responses</t>
        </is>
      </c>
      <c r="L4" s="18" t="inlineStr">
        <is>
          <t>Overall Avg</t>
        </is>
      </c>
    </row>
    <row r="5" ht="25.5" customHeight="1">
      <c r="A5" s="19" t="inlineStr">
        <is>
          <t>Alex Johnson</t>
        </is>
      </c>
      <c r="B5" s="20">
        <f>IFERROR(AVERAGEIF(Responses!$B$3:$B$200,A5,Responses!$C$3:$C$200),"")</f>
        <v/>
      </c>
      <c r="C5" s="20">
        <f>IFERROR(AVERAGEIF(Responses!$B$3:$B$200,A5,Responses!$D$3:$D$200),"")</f>
        <v/>
      </c>
      <c r="D5" s="20">
        <f>IFERROR(AVERAGEIF(Responses!$B$3:$B$200,A5,Responses!$E$3:$E$200),"")</f>
        <v/>
      </c>
      <c r="E5" s="20">
        <f>IFERROR(AVERAGEIF(Responses!$B$3:$B$200,A5,Responses!$F$3:$F$200),"")</f>
        <v/>
      </c>
      <c r="F5" s="20">
        <f>IFERROR(AVERAGEIF(Responses!$B$3:$B$200,A5,Responses!$G$3:$G$200),"")</f>
        <v/>
      </c>
      <c r="G5" s="20">
        <f>IFERROR(AVERAGEIF(Responses!$B$3:$B$200,A5,Responses!$H$3:$H$200),"")</f>
        <v/>
      </c>
      <c r="H5" s="20">
        <f>IFERROR(AVERAGEIF(Responses!$B$3:$B$200,A5,Responses!$I$3:$I$200),"")</f>
        <v/>
      </c>
      <c r="I5" s="20">
        <f>IFERROR(AVERAGEIF(Responses!$B$3:$B$200,A5,Responses!$J$3:$J$200),"")</f>
        <v/>
      </c>
      <c r="J5" s="20">
        <f>IFERROR(AVERAGEIF(Responses!$B$3:$B$200,A5,Responses!$K$3:$K$200),"")</f>
        <v/>
      </c>
      <c r="K5" s="21">
        <f>COUNTIF(Responses!$B$3:$B$200,A5)</f>
        <v/>
      </c>
      <c r="L5" s="22">
        <f>IFERROR(AVERAGE(B5:J5),"")</f>
        <v/>
      </c>
    </row>
    <row r="6" ht="25.5" customHeight="1">
      <c r="A6" s="23" t="inlineStr">
        <is>
          <t>Sam Patel</t>
        </is>
      </c>
      <c r="B6" s="24">
        <f>IFERROR(AVERAGEIF(Responses!$B$3:$B$200,A6,Responses!$C$3:$C$200),"")</f>
        <v/>
      </c>
      <c r="C6" s="24">
        <f>IFERROR(AVERAGEIF(Responses!$B$3:$B$200,A6,Responses!$D$3:$D$200),"")</f>
        <v/>
      </c>
      <c r="D6" s="24">
        <f>IFERROR(AVERAGEIF(Responses!$B$3:$B$200,A6,Responses!$E$3:$E$200),"")</f>
        <v/>
      </c>
      <c r="E6" s="24">
        <f>IFERROR(AVERAGEIF(Responses!$B$3:$B$200,A6,Responses!$F$3:$F$200),"")</f>
        <v/>
      </c>
      <c r="F6" s="24">
        <f>IFERROR(AVERAGEIF(Responses!$B$3:$B$200,A6,Responses!$G$3:$G$200),"")</f>
        <v/>
      </c>
      <c r="G6" s="24">
        <f>IFERROR(AVERAGEIF(Responses!$B$3:$B$200,A6,Responses!$H$3:$H$200),"")</f>
        <v/>
      </c>
      <c r="H6" s="24">
        <f>IFERROR(AVERAGEIF(Responses!$B$3:$B$200,A6,Responses!$I$3:$I$200),"")</f>
        <v/>
      </c>
      <c r="I6" s="24">
        <f>IFERROR(AVERAGEIF(Responses!$B$3:$B$200,A6,Responses!$J$3:$J$200),"")</f>
        <v/>
      </c>
      <c r="J6" s="24">
        <f>IFERROR(AVERAGEIF(Responses!$B$3:$B$200,A6,Responses!$K$3:$K$200),"")</f>
        <v/>
      </c>
      <c r="K6" s="25">
        <f>COUNTIF(Responses!$B$3:$B$200,A6)</f>
        <v/>
      </c>
      <c r="L6" s="22">
        <f>IFERROR(AVERAGE(B6:J6),"")</f>
        <v/>
      </c>
    </row>
  </sheetData>
  <mergeCells count="2">
    <mergeCell ref="A2:N2"/>
    <mergeCell ref="A1:N1"/>
  </mergeCells>
  <conditionalFormatting sqref="B5:J6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Normal="100" workbookViewId="0">
      <pane ySplit="5" topLeftCell="A6" activePane="bottomLeft" state="frozen"/>
      <selection pane="bottomLeft" activeCell="C9" sqref="C9"/>
    </sheetView>
  </sheetViews>
  <sheetFormatPr baseColWidth="10" defaultColWidth="8.6640625" defaultRowHeight="15"/>
  <cols>
    <col width="28" customWidth="1" min="1" max="1"/>
    <col width="18" customWidth="1" min="2" max="2"/>
    <col width="12" customWidth="1" min="3" max="4"/>
    <col width="16" customWidth="1" min="5" max="5"/>
  </cols>
  <sheetData>
    <row r="1" ht="33.75" customHeight="1">
      <c r="A1" s="9" t="inlineStr">
        <is>
          <t>360° Feedback — Individual Report</t>
        </is>
      </c>
    </row>
    <row r="2">
      <c r="A2" s="6" t="inlineStr">
        <is>
          <t>Change the subject name in B3 to view a different person's results.</t>
        </is>
      </c>
    </row>
    <row r="3">
      <c r="A3" s="26" t="inlineStr">
        <is>
          <t>Subject:</t>
        </is>
      </c>
      <c r="B3" s="27" t="inlineStr">
        <is>
          <t>Alex Johnson</t>
        </is>
      </c>
    </row>
    <row r="5" ht="27.75" customHeight="1">
      <c r="A5" s="16" t="inlineStr">
        <is>
          <t>Competency</t>
        </is>
      </c>
      <c r="B5" s="16" t="inlineStr">
        <is>
          <t>Pillar</t>
        </is>
      </c>
      <c r="C5" s="18" t="inlineStr">
        <is>
          <t>Avg Score</t>
        </is>
      </c>
      <c r="D5" s="18" t="inlineStr">
        <is>
          <t>Responses</t>
        </is>
      </c>
      <c r="E5" s="18" t="inlineStr">
        <is>
          <t>Visual</t>
        </is>
      </c>
    </row>
    <row r="6" ht="25.5" customHeight="1">
      <c r="A6" s="23" t="inlineStr">
        <is>
          <t>Future Focused</t>
        </is>
      </c>
      <c r="B6" s="28" t="inlineStr">
        <is>
          <t>Make it Happen</t>
        </is>
      </c>
      <c r="C6" s="29">
        <f>IFERROR(AVERAGEIF(Responses!$B$3:$B$200,$B$3,Responses!$C$3:$C$200),"")</f>
        <v/>
      </c>
      <c r="D6" s="14">
        <f>IFERROR(COUNTIF(Responses!$B$3:$B$200,$B$3),0)</f>
        <v/>
      </c>
      <c r="E6" s="30">
        <f>IFERROR(REPT("■",ROUND(C6,0))&amp;REPT("□",5-ROUND(C6,0)),"")</f>
        <v/>
      </c>
    </row>
    <row r="7" ht="25.5" customHeight="1">
      <c r="A7" s="19" t="inlineStr">
        <is>
          <t>Adaptability</t>
        </is>
      </c>
      <c r="B7" s="31" t="inlineStr">
        <is>
          <t>Make it Happen</t>
        </is>
      </c>
      <c r="C7" s="32">
        <f>IFERROR(AVERAGEIF(Responses!$B$3:$B$200,$B$3,Responses!$D$3:$D$200),"")</f>
        <v/>
      </c>
      <c r="D7" s="11">
        <f>IFERROR(COUNTIF(Responses!$B$3:$B$200,$B$3),0)</f>
        <v/>
      </c>
      <c r="E7" s="33">
        <f>IFERROR(REPT("■",ROUND(C7,0))&amp;REPT("□",5-ROUND(C7,0)),"")</f>
        <v/>
      </c>
    </row>
    <row r="8" ht="25.5" customHeight="1">
      <c r="A8" s="23" t="inlineStr">
        <is>
          <t>Positive Outlook</t>
        </is>
      </c>
      <c r="B8" s="28" t="inlineStr">
        <is>
          <t>Make it Happen</t>
        </is>
      </c>
      <c r="C8" s="29">
        <f>IFERROR(AVERAGEIF(Responses!$B$3:$B$200,$B$3,Responses!$E$3:$E$200),"")</f>
        <v/>
      </c>
      <c r="D8" s="14">
        <f>IFERROR(COUNTIF(Responses!$B$3:$B$200,$B$3),0)</f>
        <v/>
      </c>
      <c r="E8" s="30">
        <f>IFERROR(REPT("■",ROUND(C8,0))&amp;REPT("□",5-ROUND(C8,0)),"")</f>
        <v/>
      </c>
    </row>
    <row r="9" ht="25.5" customHeight="1">
      <c r="A9" s="19" t="inlineStr">
        <is>
          <t>Communication</t>
        </is>
      </c>
      <c r="B9" s="31" t="inlineStr">
        <is>
          <t>Never Settle</t>
        </is>
      </c>
      <c r="C9" s="32">
        <f>IFERROR(AVERAGEIF(Responses!$B$3:$B$200,$B$3,Responses!$F$3:$F$200),"")</f>
        <v/>
      </c>
      <c r="D9" s="11">
        <f>IFERROR(COUNTIF(Responses!$B$3:$B$200,$B$3),0)</f>
        <v/>
      </c>
      <c r="E9" s="33">
        <f>IFERROR(REPT("■",ROUND(C9,0))&amp;REPT("□",5-ROUND(C9,0)),"")</f>
        <v/>
      </c>
    </row>
    <row r="10" ht="25.5" customHeight="1">
      <c r="A10" s="23" t="inlineStr">
        <is>
          <t>Empathy</t>
        </is>
      </c>
      <c r="B10" s="28" t="inlineStr">
        <is>
          <t>Never Settle</t>
        </is>
      </c>
      <c r="C10" s="29">
        <f>IFERROR(AVERAGEIF(Responses!$B$3:$B$200,$B$3,Responses!$G$3:$G$200),"")</f>
        <v/>
      </c>
      <c r="D10" s="14">
        <f>IFERROR(COUNTIF(Responses!$B$3:$B$200,$B$3),0)</f>
        <v/>
      </c>
      <c r="E10" s="30">
        <f>IFERROR(REPT("■",ROUND(C10,0))&amp;REPT("□",5-ROUND(C10,0)),"")</f>
        <v/>
      </c>
    </row>
    <row r="11" ht="25.5" customHeight="1">
      <c r="A11" s="19" t="inlineStr">
        <is>
          <t>Teamwork</t>
        </is>
      </c>
      <c r="B11" s="31" t="inlineStr">
        <is>
          <t>Choose Right</t>
        </is>
      </c>
      <c r="C11" s="32">
        <f>IFERROR(AVERAGEIF(Responses!$B$3:$B$200,$B$3,Responses!$H$3:$H$200),"")</f>
        <v/>
      </c>
      <c r="D11" s="11">
        <f>IFERROR(COUNTIF(Responses!$B$3:$B$200,$B$3),0)</f>
        <v/>
      </c>
      <c r="E11" s="33">
        <f>IFERROR(REPT("■",ROUND(C11,0))&amp;REPT("□",5-ROUND(C11,0)),"")</f>
        <v/>
      </c>
    </row>
    <row r="12" ht="25.5" customHeight="1">
      <c r="A12" s="23" t="inlineStr">
        <is>
          <t>Stakeholder Management</t>
        </is>
      </c>
      <c r="B12" s="28" t="inlineStr">
        <is>
          <t>Choose Right</t>
        </is>
      </c>
      <c r="C12" s="29">
        <f>IFERROR(AVERAGEIF(Responses!$B$3:$B$200,$B$3,Responses!$I$3:$I$200),"")</f>
        <v/>
      </c>
      <c r="D12" s="14">
        <f>IFERROR(COUNTIF(Responses!$B$3:$B$200,$B$3),0)</f>
        <v/>
      </c>
      <c r="E12" s="30">
        <f>IFERROR(REPT("■",ROUND(C12,0))&amp;REPT("□",5-ROUND(C12,0)),"")</f>
        <v/>
      </c>
    </row>
    <row r="13" ht="25.5" customHeight="1">
      <c r="A13" s="19" t="inlineStr">
        <is>
          <t>Planning &amp; Problem Solving</t>
        </is>
      </c>
      <c r="B13" s="31" t="inlineStr">
        <is>
          <t>Smart with Heart</t>
        </is>
      </c>
      <c r="C13" s="32">
        <f>IFERROR(AVERAGEIF(Responses!$B$3:$B$200,$B$3,Responses!$J$3:$J$200),"")</f>
        <v/>
      </c>
      <c r="D13" s="11">
        <f>IFERROR(COUNTIF(Responses!$B$3:$B$200,$B$3),0)</f>
        <v/>
      </c>
      <c r="E13" s="33">
        <f>IFERROR(REPT("■",ROUND(C13,0))&amp;REPT("□",5-ROUND(C13,0)),"")</f>
        <v/>
      </c>
    </row>
    <row r="14" ht="25.5" customHeight="1">
      <c r="A14" s="23" t="inlineStr">
        <is>
          <t>Inspirational Leadership</t>
        </is>
      </c>
      <c r="B14" s="28" t="inlineStr">
        <is>
          <t>Smart with Heart</t>
        </is>
      </c>
      <c r="C14" s="29">
        <f>IFERROR(AVERAGEIF(Responses!$B$3:$B$200,$B$3,Responses!$K$3:$K$200),"")</f>
        <v/>
      </c>
      <c r="D14" s="14">
        <f>IFERROR(COUNTIF(Responses!$B$3:$B$200,$B$3),0)</f>
        <v/>
      </c>
      <c r="E14" s="30">
        <f>IFERROR(REPT("■",ROUND(C14,0))&amp;REPT("□",5-ROUND(C14,0)),"")</f>
        <v/>
      </c>
    </row>
    <row r="17">
      <c r="A17" s="5" t="inlineStr">
        <is>
          <t>STRENGTHS (all submissions)</t>
        </is>
      </c>
      <c r="B17" s="48" t="n"/>
      <c r="C17" s="48" t="n"/>
      <c r="D17" s="48" t="n"/>
      <c r="E17" s="48" t="n"/>
      <c r="F17" s="48" t="n"/>
      <c r="G17" s="48" t="n"/>
      <c r="H17" s="48" t="n"/>
      <c r="I17" s="48" t="n"/>
    </row>
    <row r="18" ht="36" customHeight="1">
      <c r="A18" s="4">
        <f>IFERROR(INDEX(Responses!$L$3:$L$200,SMALL(IF(Responses!$B$3:$B$200=$B$3,ROW(Responses!$B$3:$B$200)-2),1)),"")</f>
        <v/>
      </c>
      <c r="B18" s="48" t="n"/>
      <c r="C18" s="48" t="n"/>
      <c r="D18" s="48" t="n"/>
      <c r="E18" s="48" t="n"/>
      <c r="F18" s="48" t="n"/>
      <c r="G18" s="48" t="n"/>
      <c r="H18" s="48" t="n"/>
      <c r="I18" s="48" t="n"/>
    </row>
    <row r="19" ht="36" customHeight="1">
      <c r="A19" s="3">
        <f>IFERROR(INDEX(Responses!$L$3:$L$200,SMALL(IF(Responses!$B$3:$B$200=$B$3,ROW(Responses!$B$3:$B$200)-2),2)),"")</f>
        <v/>
      </c>
      <c r="B19" s="48" t="n"/>
      <c r="C19" s="48" t="n"/>
      <c r="D19" s="48" t="n"/>
      <c r="E19" s="48" t="n"/>
      <c r="F19" s="48" t="n"/>
      <c r="G19" s="48" t="n"/>
      <c r="H19" s="48" t="n"/>
      <c r="I19" s="48" t="n"/>
    </row>
    <row r="20" ht="36" customHeight="1">
      <c r="A20" s="4">
        <f>IFERROR(INDEX(Responses!$L$3:$L$200,SMALL(IF(Responses!$B$3:$B$200=$B$3,ROW(Responses!$B$3:$B$200)-2),3)),"")</f>
        <v/>
      </c>
      <c r="B20" s="48" t="n"/>
      <c r="C20" s="48" t="n"/>
      <c r="D20" s="48" t="n"/>
      <c r="E20" s="48" t="n"/>
      <c r="F20" s="48" t="n"/>
      <c r="G20" s="48" t="n"/>
      <c r="H20" s="48" t="n"/>
      <c r="I20" s="48" t="n"/>
    </row>
    <row r="21" ht="36" customHeight="1">
      <c r="A21" s="3">
        <f>IFERROR(INDEX(Responses!$L$3:$L$200,SMALL(IF(Responses!$B$3:$B$200=$B$3,ROW(Responses!$B$3:$B$200)-2),4)),"")</f>
        <v/>
      </c>
      <c r="B21" s="48" t="n"/>
      <c r="C21" s="48" t="n"/>
      <c r="D21" s="48" t="n"/>
      <c r="E21" s="48" t="n"/>
      <c r="F21" s="48" t="n"/>
      <c r="G21" s="48" t="n"/>
      <c r="H21" s="48" t="n"/>
      <c r="I21" s="48" t="n"/>
    </row>
    <row r="22" ht="36" customHeight="1">
      <c r="A22" s="4">
        <f>IFERROR(INDEX(Responses!$L$3:$L$200,SMALL(IF(Responses!$B$3:$B$200=$B$3,ROW(Responses!$B$3:$B$200)-2),5)),"")</f>
        <v/>
      </c>
      <c r="B22" s="48" t="n"/>
      <c r="C22" s="48" t="n"/>
      <c r="D22" s="48" t="n"/>
      <c r="E22" s="48" t="n"/>
      <c r="F22" s="48" t="n"/>
      <c r="G22" s="48" t="n"/>
      <c r="H22" s="48" t="n"/>
      <c r="I22" s="48" t="n"/>
    </row>
    <row r="23" ht="36" customHeight="1">
      <c r="A23" s="3">
        <f>IFERROR(INDEX(Responses!$L$3:$L$200,SMALL(IF(Responses!$B$3:$B$200=$B$3,ROW(Responses!$B$3:$B$200)-2),6)),"")</f>
        <v/>
      </c>
      <c r="B23" s="48" t="n"/>
      <c r="C23" s="48" t="n"/>
      <c r="D23" s="48" t="n"/>
      <c r="E23" s="48" t="n"/>
      <c r="F23" s="48" t="n"/>
      <c r="G23" s="48" t="n"/>
      <c r="H23" s="48" t="n"/>
      <c r="I23" s="48" t="n"/>
    </row>
    <row r="24" ht="36" customHeight="1">
      <c r="A24" s="4">
        <f>IFERROR(INDEX(Responses!$L$3:$L$200,SMALL(IF(Responses!$B$3:$B$200=$B$3,ROW(Responses!$B$3:$B$200)-2),7)),"")</f>
        <v/>
      </c>
      <c r="B24" s="48" t="n"/>
      <c r="C24" s="48" t="n"/>
      <c r="D24" s="48" t="n"/>
      <c r="E24" s="48" t="n"/>
      <c r="F24" s="48" t="n"/>
      <c r="G24" s="48" t="n"/>
      <c r="H24" s="48" t="n"/>
      <c r="I24" s="48" t="n"/>
    </row>
    <row r="25" ht="36" customHeight="1">
      <c r="A25" s="3">
        <f>IFERROR(INDEX(Responses!$L$3:$L$200,SMALL(IF(Responses!$B$3:$B$200=$B$3,ROW(Responses!$B$3:$B$200)-2),8)),"")</f>
        <v/>
      </c>
      <c r="B25" s="48" t="n"/>
      <c r="C25" s="48" t="n"/>
      <c r="D25" s="48" t="n"/>
      <c r="E25" s="48" t="n"/>
      <c r="F25" s="48" t="n"/>
      <c r="G25" s="48" t="n"/>
      <c r="H25" s="48" t="n"/>
      <c r="I25" s="48" t="n"/>
    </row>
    <row r="27">
      <c r="A27" s="2" t="inlineStr">
        <is>
          <t>DEVELOPMENT AREAS (all submissions)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  <row r="28" ht="36" customHeight="1">
      <c r="A28" s="1">
        <f>IFERROR(INDEX(Responses!$M$3:$M$200,SMALL(IF(Responses!$B$3:$B$200=$B$3,ROW(Responses!$B$3:$B$200)-2),1)),"")</f>
        <v/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  <row r="29" ht="36" customHeight="1">
      <c r="A29" s="3">
        <f>IFERROR(INDEX(Responses!$M$3:$M$200,SMALL(IF(Responses!$B$3:$B$200=$B$3,ROW(Responses!$B$3:$B$200)-2),2)),"")</f>
        <v/>
      </c>
      <c r="B29" s="48" t="n"/>
      <c r="C29" s="48" t="n"/>
      <c r="D29" s="48" t="n"/>
      <c r="E29" s="48" t="n"/>
      <c r="F29" s="48" t="n"/>
      <c r="G29" s="48" t="n"/>
      <c r="H29" s="48" t="n"/>
      <c r="I29" s="48" t="n"/>
    </row>
    <row r="30" ht="36" customHeight="1">
      <c r="A30" s="1">
        <f>IFERROR(INDEX(Responses!$M$3:$M$200,SMALL(IF(Responses!$B$3:$B$200=$B$3,ROW(Responses!$B$3:$B$200)-2),3)),"")</f>
        <v/>
      </c>
      <c r="B30" s="48" t="n"/>
      <c r="C30" s="48" t="n"/>
      <c r="D30" s="48" t="n"/>
      <c r="E30" s="48" t="n"/>
      <c r="F30" s="48" t="n"/>
      <c r="G30" s="48" t="n"/>
      <c r="H30" s="48" t="n"/>
      <c r="I30" s="48" t="n"/>
    </row>
    <row r="31" ht="36" customHeight="1">
      <c r="A31" s="3">
        <f>IFERROR(INDEX(Responses!$M$3:$M$200,SMALL(IF(Responses!$B$3:$B$200=$B$3,ROW(Responses!$B$3:$B$200)-2),4)),"")</f>
        <v/>
      </c>
      <c r="B31" s="48" t="n"/>
      <c r="C31" s="48" t="n"/>
      <c r="D31" s="48" t="n"/>
      <c r="E31" s="48" t="n"/>
      <c r="F31" s="48" t="n"/>
      <c r="G31" s="48" t="n"/>
      <c r="H31" s="48" t="n"/>
      <c r="I31" s="48" t="n"/>
    </row>
    <row r="32" ht="36" customHeight="1">
      <c r="A32" s="1">
        <f>IFERROR(INDEX(Responses!$M$3:$M$200,SMALL(IF(Responses!$B$3:$B$200=$B$3,ROW(Responses!$B$3:$B$200)-2),5)),"")</f>
        <v/>
      </c>
      <c r="B32" s="48" t="n"/>
      <c r="C32" s="48" t="n"/>
      <c r="D32" s="48" t="n"/>
      <c r="E32" s="48" t="n"/>
      <c r="F32" s="48" t="n"/>
      <c r="G32" s="48" t="n"/>
      <c r="H32" s="48" t="n"/>
      <c r="I32" s="48" t="n"/>
    </row>
    <row r="33" ht="36" customHeight="1">
      <c r="A33" s="3">
        <f>IFERROR(INDEX(Responses!$M$3:$M$200,SMALL(IF(Responses!$B$3:$B$200=$B$3,ROW(Responses!$B$3:$B$200)-2),6)),"")</f>
        <v/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 ht="36" customHeight="1">
      <c r="A34" s="1">
        <f>IFERROR(INDEX(Responses!$M$3:$M$200,SMALL(IF(Responses!$B$3:$B$200=$B$3,ROW(Responses!$B$3:$B$200)-2),7)),"")</f>
        <v/>
      </c>
      <c r="B34" s="48" t="n"/>
      <c r="C34" s="48" t="n"/>
      <c r="D34" s="48" t="n"/>
      <c r="E34" s="48" t="n"/>
      <c r="F34" s="48" t="n"/>
      <c r="G34" s="48" t="n"/>
      <c r="H34" s="48" t="n"/>
      <c r="I34" s="48" t="n"/>
    </row>
    <row r="35" ht="36" customHeight="1">
      <c r="A35" s="3">
        <f>IFERROR(INDEX(Responses!$M$3:$M$200,SMALL(IF(Responses!$B$3:$B$200=$B$3,ROW(Responses!$B$3:$B$200)-2),8)),"")</f>
        <v/>
      </c>
      <c r="B35" s="48" t="n"/>
      <c r="C35" s="48" t="n"/>
      <c r="D35" s="48" t="n"/>
      <c r="E35" s="48" t="n"/>
      <c r="F35" s="48" t="n"/>
      <c r="G35" s="48" t="n"/>
      <c r="H35" s="48" t="n"/>
      <c r="I35" s="48" t="n"/>
    </row>
  </sheetData>
  <mergeCells count="20">
    <mergeCell ref="A25:I25"/>
    <mergeCell ref="A18:I18"/>
    <mergeCell ref="A27:I27"/>
    <mergeCell ref="A21:I21"/>
    <mergeCell ref="A33:I33"/>
    <mergeCell ref="A2:I2"/>
    <mergeCell ref="A32:I32"/>
    <mergeCell ref="A23:I23"/>
    <mergeCell ref="A17:I17"/>
    <mergeCell ref="A22:I22"/>
    <mergeCell ref="A35:I35"/>
    <mergeCell ref="A20:I20"/>
    <mergeCell ref="A29:I29"/>
    <mergeCell ref="A19:I19"/>
    <mergeCell ref="A28:I28"/>
    <mergeCell ref="A31:I31"/>
    <mergeCell ref="A34:I34"/>
    <mergeCell ref="A24:I24"/>
    <mergeCell ref="A30:I30"/>
    <mergeCell ref="A1:I1"/>
  </mergeCells>
  <conditionalFormatting sqref="C6:C14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2026-03-22T18:31:06Z</dcterms:created>
  <dcterms:modified xsi:type="dcterms:W3CDTF">2026-03-25T08:11:17Z</dcterms:modified>
  <cp:lastModifiedBy>Nathan Pitman</cp:lastModifiedBy>
  <cp:revision>1</cp:revision>
</cp:coreProperties>
</file>