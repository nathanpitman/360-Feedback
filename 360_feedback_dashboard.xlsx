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ponses" sheetId="1" state="visible" r:id="rId3"/>
    <sheet name="Dashboard" sheetId="2" state="visible" r:id="rId4"/>
    <sheet name="Subject Detail" sheetId="3" state="visible" r:id="rId5"/>
  </sheets>
  <definedNames>
    <definedName function="false" hidden="true" localSheetId="0" name="_xlnm._FilterDatabase" vbProcedure="false">Responses!$A$2:$M$2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<sst xmlns="http://schemas.openxmlformats.org/spreadsheetml/2006/main" count="84" uniqueCount="53">
  <si>
    <t xml:space="preserve">360° Feedback — Responses</t>
  </si>
  <si>
    <t xml:space="preserve">Timestamp</t>
  </si>
  <si>
    <t xml:space="preserve">Subject Name</t>
  </si>
  <si>
    <t xml:space="preserve">Future Focused</t>
  </si>
  <si>
    <t xml:space="preserve">Adaptability</t>
  </si>
  <si>
    <t xml:space="preserve">Positive Outlook</t>
  </si>
  <si>
    <t xml:space="preserve">Communication</t>
  </si>
  <si>
    <t xml:space="preserve">Empathy</t>
  </si>
  <si>
    <t xml:space="preserve">Teamwork</t>
  </si>
  <si>
    <t xml:space="preserve">Stakeholder Management</t>
  </si>
  <si>
    <t xml:space="preserve">Planning &amp; Problem Solving</t>
  </si>
  <si>
    <t xml:space="preserve">Inspirational Leadership</t>
  </si>
  <si>
    <t xml:space="preserve">Strengths</t>
  </si>
  <si>
    <t xml:space="preserve">Development Areas</t>
  </si>
  <si>
    <t xml:space="preserve">2024-06-01 09:12</t>
  </si>
  <si>
    <t xml:space="preserve">Alex Johnson</t>
  </si>
  <si>
    <t xml:space="preserve">Strong communicator. Follows through.</t>
  </si>
  <si>
    <t xml:space="preserve">Could delegate more.</t>
  </si>
  <si>
    <t xml:space="preserve">2024-06-01 11:45</t>
  </si>
  <si>
    <t xml:space="preserve">Exceptional leadership presence.</t>
  </si>
  <si>
    <t xml:space="preserve">More structured planning docs.</t>
  </si>
  <si>
    <t xml:space="preserve">2024-06-01 14:30</t>
  </si>
  <si>
    <t xml:space="preserve">Keeps spirits high under pressure.</t>
  </si>
  <si>
    <t xml:space="preserve">More visibility on strategy.</t>
  </si>
  <si>
    <t xml:space="preserve">2024-06-02 08:55</t>
  </si>
  <si>
    <t xml:space="preserve">Sam Patel</t>
  </si>
  <si>
    <t xml:space="preserve">Deep analytical thinker.</t>
  </si>
  <si>
    <t xml:space="preserve">More confidence presenting ideas.</t>
  </si>
  <si>
    <t xml:space="preserve">2024-06-02 10:20</t>
  </si>
  <si>
    <t xml:space="preserve">Excellent stakeholder relationships.</t>
  </si>
  <si>
    <t xml:space="preserve">Proactive comms could be stronger.</t>
  </si>
  <si>
    <t xml:space="preserve">2024-06-02 15:00</t>
  </si>
  <si>
    <t xml:space="preserve">Empathetic, makes time for the team.</t>
  </si>
  <si>
    <t xml:space="preserve">More regular 1:1s.</t>
  </si>
  <si>
    <t xml:space="preserve">Rows added automatically by Power Automate. Do not manually edit column structure.</t>
  </si>
  <si>
    <t xml:space="preserve">360° Feedback — Dashboard</t>
  </si>
  <si>
    <t xml:space="preserve">Average scores per competency by subject (1–5 scale) · Updates live as submissions arrive</t>
  </si>
  <si>
    <t xml:space="preserve">Subject</t>
  </si>
  <si>
    <t xml:space="preserve">Responses</t>
  </si>
  <si>
    <t xml:space="preserve">Overall Avg</t>
  </si>
  <si>
    <t xml:space="preserve">360° Feedback — Individual Report</t>
  </si>
  <si>
    <t xml:space="preserve">Change the subject name in B3 to view a different person's results.</t>
  </si>
  <si>
    <t xml:space="preserve">Subject:</t>
  </si>
  <si>
    <t xml:space="preserve">Competency</t>
  </si>
  <si>
    <t xml:space="preserve">Pillar</t>
  </si>
  <si>
    <t xml:space="preserve">Avg Score</t>
  </si>
  <si>
    <t xml:space="preserve">Visual</t>
  </si>
  <si>
    <t xml:space="preserve">Make it Happen</t>
  </si>
  <si>
    <t xml:space="preserve">Never Settle</t>
  </si>
  <si>
    <t xml:space="preserve">Choose Right</t>
  </si>
  <si>
    <t xml:space="preserve">Smart with Heart</t>
  </si>
  <si>
    <t xml:space="preserve">STRENGTHS (all submissions)</t>
  </si>
  <si>
    <t xml:space="preserve">DEVELOPMENT AREAS (all submissions)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</si>
</sst>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i val="true"/>
      <sz val="9"/>
      <color rgb="FF9CA3AF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name val="Arial"/>
      <family val="0"/>
      <charset val="1"/>
    </font>
    <font>
      <b val="true"/>
      <sz val="11"/>
      <color rgb="FF4F46E5"/>
      <name val="Arial"/>
      <family val="0"/>
      <charset val="1"/>
    </font>
    <font>
      <sz val="9"/>
      <color rgb="FF6B7280"/>
      <name val="Arial"/>
      <family val="0"/>
      <charset val="1"/>
    </font>
    <font>
      <sz val="11"/>
      <color rgb="FF4F46E5"/>
      <name val="Arial"/>
      <family val="0"/>
      <charset val="1"/>
    </font>
    <font>
      <i val="true"/>
      <sz val="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11827"/>
        <bgColor rgb="FF000000"/>
      </patternFill>
    </fill>
    <fill>
      <patternFill patternType="solid">
        <fgColor rgb="FF4F46E5"/>
        <bgColor rgb="FF333399"/>
      </patternFill>
    </fill>
    <fill>
      <patternFill patternType="solid">
        <fgColor rgb="FFF9FAFB"/>
        <bgColor rgb="FFF9F9F9"/>
      </patternFill>
    </fill>
    <fill>
      <patternFill patternType="solid">
        <fgColor rgb="FFFFFFFF"/>
        <bgColor rgb="FFF9FAFB"/>
      </patternFill>
    </fill>
    <fill>
      <patternFill patternType="solid">
        <fgColor rgb="FF059669"/>
        <bgColor rgb="FF008080"/>
      </patternFill>
    </fill>
    <fill>
      <patternFill patternType="solid">
        <fgColor rgb="FFF0FDF4"/>
        <bgColor rgb="FFF9FAFB"/>
      </patternFill>
    </fill>
    <fill>
      <patternFill patternType="solid">
        <fgColor rgb="FFEEF2FF"/>
        <bgColor rgb="FFF9F9F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 diagonalUp="false" diagonalDown="false">
      <left style="thin">
        <color rgb="FFE5E7EB"/>
      </left>
      <right/>
      <top style="thin">
        <color rgb="FFE5E7EB"/>
      </top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11827"/>
          <bgColor rgb="FF000000"/>
        </patternFill>
      </fill>
    </dxf>
    <dxf>
      <fill>
        <patternFill patternType="solid">
          <fgColor rgb="FF4F46E5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059669"/>
      <rgbColor rgb="FFB8CD97"/>
      <rgbColor rgb="FF878787"/>
      <rgbColor rgb="FF93A9CE"/>
      <rgbColor rgb="FF6B7280"/>
      <rgbColor rgb="FFF0FDF4"/>
      <rgbColor rgb="FFEEF2FF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F9F9F9"/>
      <rgbColor rgb="FFF9FAFB"/>
      <rgbColor rgb="FF99CCFF"/>
      <rgbColor rgb="FFD09493"/>
      <rgbColor rgb="FFCC99FF"/>
      <rgbColor rgb="FFFFCC99"/>
      <rgbColor rgb="FF4F46E5"/>
      <rgbColor rgb="FF10B981"/>
      <rgbColor rgb="FF99CC00"/>
      <rgbColor rgb="FFFFCC00"/>
      <rgbColor rgb="FFFF9900"/>
      <rgbColor rgb="FFFF6600"/>
      <rgbColor rgb="FF725990"/>
      <rgbColor rgb="FF9CA3AF"/>
      <rgbColor rgb="FF003366"/>
      <rgbColor rgb="FF4299B0"/>
      <rgbColor rgb="FF111827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Competency Scores by Subject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Dashboard!B4</c:f>
              <c:strCache>
                <c:ptCount val="1"/>
                <c:pt idx="0">
                  <c:v>Future Focused</c:v>
                </c:pt>
              </c:strCache>
            </c:strRef>
          </c:tx>
          <c:spPr>
            <a:solidFill>
              <a:srgbClr val="4f46e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Dashboard!$B$4:$J$4</c:f>
              <c:multiLvlStrCache>
                <c:ptCount val="1"/>
                <c:lvl>
                  <c:pt idx="0">
                    <c:v>Inspirational Leadership</c:v>
                  </c:pt>
                </c:lvl>
                <c:lvl>
                  <c:pt idx="0">
                    <c:v>Planning &amp; Problem Solving</c:v>
                  </c:pt>
                </c:lvl>
                <c:lvl>
                  <c:pt idx="0">
                    <c:v>Stakeholder Management</c:v>
                  </c:pt>
                </c:lvl>
                <c:lvl>
                  <c:pt idx="0">
                    <c:v>Teamwork</c:v>
                  </c:pt>
                </c:lvl>
                <c:lvl>
                  <c:pt idx="0">
                    <c:v>Empathy</c:v>
                  </c:pt>
                </c:lvl>
                <c:lvl>
                  <c:pt idx="0">
                    <c:v>Communication</c:v>
                  </c:pt>
                </c:lvl>
                <c:lvl>
                  <c:pt idx="0">
                    <c:v>Positive Outlook</c:v>
                  </c:pt>
                </c:lvl>
                <c:lvl>
                  <c:pt idx="0">
                    <c:v>Adaptability</c:v>
                  </c:pt>
                </c:lvl>
                <c:lvl>
                  <c:pt idx="0">
                    <c:v>Future Focused</c:v>
                  </c:pt>
                </c:lvl>
              </c:multiLvlStrCache>
            </c:multiLvlStrRef>
          </c:cat>
          <c:val>
            <c:numRef>
              <c:f>Dashboard!$B$5:$B$6</c:f>
              <c:numCache>
                <c:formatCode>0.0</c:formatCode>
                <c:ptCount val="2"/>
                <c:pt idx="0">
                  <c:v>4</c:v>
                </c:pt>
                <c:pt idx="1">
                  <c:v>4.66666666666667</c:v>
                </c:pt>
              </c:numCache>
            </c:numRef>
          </c:val>
        </c:ser>
        <c:ser>
          <c:idx val="1"/>
          <c:order val="1"/>
          <c:tx>
            <c:strRef>
              <c:f>Dashboard!C4</c:f>
              <c:strCache>
                <c:ptCount val="1"/>
                <c:pt idx="0">
                  <c:v>Adaptability</c:v>
                </c:pt>
              </c:strCache>
            </c:strRef>
          </c:tx>
          <c:spPr>
            <a:solidFill>
              <a:srgbClr val="10b981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Dashboard!$B$4:$J$4</c:f>
              <c:multiLvlStrCache>
                <c:ptCount val="1"/>
                <c:lvl>
                  <c:pt idx="0">
                    <c:v>Inspirational Leadership</c:v>
                  </c:pt>
                </c:lvl>
                <c:lvl>
                  <c:pt idx="0">
                    <c:v>Planning &amp; Problem Solving</c:v>
                  </c:pt>
                </c:lvl>
                <c:lvl>
                  <c:pt idx="0">
                    <c:v>Stakeholder Management</c:v>
                  </c:pt>
                </c:lvl>
                <c:lvl>
                  <c:pt idx="0">
                    <c:v>Teamwork</c:v>
                  </c:pt>
                </c:lvl>
                <c:lvl>
                  <c:pt idx="0">
                    <c:v>Empathy</c:v>
                  </c:pt>
                </c:lvl>
                <c:lvl>
                  <c:pt idx="0">
                    <c:v>Communication</c:v>
                  </c:pt>
                </c:lvl>
                <c:lvl>
                  <c:pt idx="0">
                    <c:v>Positive Outlook</c:v>
                  </c:pt>
                </c:lvl>
                <c:lvl>
                  <c:pt idx="0">
                    <c:v>Adaptability</c:v>
                  </c:pt>
                </c:lvl>
                <c:lvl>
                  <c:pt idx="0">
                    <c:v>Future Focused</c:v>
                  </c:pt>
                </c:lvl>
              </c:multiLvlStrCache>
            </c:multiLvlStrRef>
          </c:cat>
          <c:val>
            <c:numRef>
              <c:f>Dashboard!$C$5:$C$6</c:f>
              <c:numCache>
                <c:formatCode>0.0</c:formatCode>
                <c:ptCount val="2"/>
                <c:pt idx="0">
                  <c:v>4.66666666666667</c:v>
                </c:pt>
                <c:pt idx="1">
                  <c:v>4.33333333333333</c:v>
                </c:pt>
              </c:numCache>
            </c:numRef>
          </c:val>
        </c:ser>
        <c:ser>
          <c:idx val="2"/>
          <c:order val="2"/>
          <c:tx>
            <c:strRef>
              <c:f>Dashboard!D4</c:f>
              <c:strCache>
                <c:ptCount val="1"/>
                <c:pt idx="0">
                  <c:v>Positive Outlook</c:v>
                </c:pt>
              </c:strCache>
            </c:strRef>
          </c:tx>
          <c:spPr>
            <a:solidFill>
              <a:srgbClr val="8aa64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Dashboard!$B$4:$J$4</c:f>
              <c:multiLvlStrCache>
                <c:ptCount val="1"/>
                <c:lvl>
                  <c:pt idx="0">
                    <c:v>Inspirational Leadership</c:v>
                  </c:pt>
                </c:lvl>
                <c:lvl>
                  <c:pt idx="0">
                    <c:v>Planning &amp; Problem Solving</c:v>
                  </c:pt>
                </c:lvl>
                <c:lvl>
                  <c:pt idx="0">
                    <c:v>Stakeholder Management</c:v>
                  </c:pt>
                </c:lvl>
                <c:lvl>
                  <c:pt idx="0">
                    <c:v>Teamwork</c:v>
                  </c:pt>
                </c:lvl>
                <c:lvl>
                  <c:pt idx="0">
                    <c:v>Empathy</c:v>
                  </c:pt>
                </c:lvl>
                <c:lvl>
                  <c:pt idx="0">
                    <c:v>Communication</c:v>
                  </c:pt>
                </c:lvl>
                <c:lvl>
                  <c:pt idx="0">
                    <c:v>Positive Outlook</c:v>
                  </c:pt>
                </c:lvl>
                <c:lvl>
                  <c:pt idx="0">
                    <c:v>Adaptability</c:v>
                  </c:pt>
                </c:lvl>
                <c:lvl>
                  <c:pt idx="0">
                    <c:v>Future Focused</c:v>
                  </c:pt>
                </c:lvl>
              </c:multiLvlStrCache>
            </c:multiLvlStrRef>
          </c:cat>
          <c:val>
            <c:numRef>
              <c:f>Dashboard!$D$5:$D$6</c:f>
              <c:numCache>
                <c:formatCode>0.0</c:formatCode>
                <c:ptCount val="2"/>
                <c:pt idx="0">
                  <c:v>4</c:v>
                </c:pt>
                <c:pt idx="1">
                  <c:v>4.33333333333333</c:v>
                </c:pt>
              </c:numCache>
            </c:numRef>
          </c:val>
        </c:ser>
        <c:ser>
          <c:idx val="3"/>
          <c:order val="3"/>
          <c:tx>
            <c:strRef>
              <c:f>Dashboard!E4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rgbClr val="72599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Dashboard!$B$4:$J$4</c:f>
              <c:multiLvlStrCache>
                <c:ptCount val="1"/>
                <c:lvl>
                  <c:pt idx="0">
                    <c:v>Inspirational Leadership</c:v>
                  </c:pt>
                </c:lvl>
                <c:lvl>
                  <c:pt idx="0">
                    <c:v>Planning &amp; Problem Solving</c:v>
                  </c:pt>
                </c:lvl>
                <c:lvl>
                  <c:pt idx="0">
                    <c:v>Stakeholder Management</c:v>
                  </c:pt>
                </c:lvl>
                <c:lvl>
                  <c:pt idx="0">
                    <c:v>Teamwork</c:v>
                  </c:pt>
                </c:lvl>
                <c:lvl>
                  <c:pt idx="0">
                    <c:v>Empathy</c:v>
                  </c:pt>
                </c:lvl>
                <c:lvl>
                  <c:pt idx="0">
                    <c:v>Communication</c:v>
                  </c:pt>
                </c:lvl>
                <c:lvl>
                  <c:pt idx="0">
                    <c:v>Positive Outlook</c:v>
                  </c:pt>
                </c:lvl>
                <c:lvl>
                  <c:pt idx="0">
                    <c:v>Adaptability</c:v>
                  </c:pt>
                </c:lvl>
                <c:lvl>
                  <c:pt idx="0">
                    <c:v>Future Focused</c:v>
                  </c:pt>
                </c:lvl>
              </c:multiLvlStrCache>
            </c:multiLvlStrRef>
          </c:cat>
          <c:val>
            <c:numRef>
              <c:f>Dashboard!$E$5:$E$6</c:f>
              <c:numCache>
                <c:formatCode>0.0</c:formatCode>
                <c:ptCount val="2"/>
                <c:pt idx="0">
                  <c:v>4.66666666666667</c:v>
                </c:pt>
                <c:pt idx="1">
                  <c:v>4.33333333333333</c:v>
                </c:pt>
              </c:numCache>
            </c:numRef>
          </c:val>
        </c:ser>
        <c:ser>
          <c:idx val="4"/>
          <c:order val="4"/>
          <c:tx>
            <c:strRef>
              <c:f>Dashboard!F4</c:f>
              <c:strCache>
                <c:ptCount val="1"/>
                <c:pt idx="0">
                  <c:v>Empathy</c:v>
                </c:pt>
              </c:strCache>
            </c:strRef>
          </c:tx>
          <c:spPr>
            <a:solidFill>
              <a:srgbClr val="4299b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Dashboard!$B$4:$J$4</c:f>
              <c:multiLvlStrCache>
                <c:ptCount val="1"/>
                <c:lvl>
                  <c:pt idx="0">
                    <c:v>Inspirational Leadership</c:v>
                  </c:pt>
                </c:lvl>
                <c:lvl>
                  <c:pt idx="0">
                    <c:v>Planning &amp; Problem Solving</c:v>
                  </c:pt>
                </c:lvl>
                <c:lvl>
                  <c:pt idx="0">
                    <c:v>Stakeholder Management</c:v>
                  </c:pt>
                </c:lvl>
                <c:lvl>
                  <c:pt idx="0">
                    <c:v>Teamwork</c:v>
                  </c:pt>
                </c:lvl>
                <c:lvl>
                  <c:pt idx="0">
                    <c:v>Empathy</c:v>
                  </c:pt>
                </c:lvl>
                <c:lvl>
                  <c:pt idx="0">
                    <c:v>Communication</c:v>
                  </c:pt>
                </c:lvl>
                <c:lvl>
                  <c:pt idx="0">
                    <c:v>Positive Outlook</c:v>
                  </c:pt>
                </c:lvl>
                <c:lvl>
                  <c:pt idx="0">
                    <c:v>Adaptability</c:v>
                  </c:pt>
                </c:lvl>
                <c:lvl>
                  <c:pt idx="0">
                    <c:v>Future Focused</c:v>
                  </c:pt>
                </c:lvl>
              </c:multiLvlStrCache>
            </c:multiLvlStrRef>
          </c:cat>
          <c:val>
            <c:numRef>
              <c:f>Dashboard!$F$5:$F$6</c:f>
              <c:numCache>
                <c:formatCode>0.0</c:formatCode>
                <c:ptCount val="2"/>
                <c:pt idx="0">
                  <c:v>4</c:v>
                </c:pt>
                <c:pt idx="1">
                  <c:v>4.66666666666667</c:v>
                </c:pt>
              </c:numCache>
            </c:numRef>
          </c:val>
        </c:ser>
        <c:ser>
          <c:idx val="5"/>
          <c:order val="5"/>
          <c:tx>
            <c:strRef>
              <c:f>Dashboard!G4</c:f>
              <c:strCache>
                <c:ptCount val="1"/>
                <c:pt idx="0">
                  <c:v>Teamwork</c:v>
                </c:pt>
              </c:strCache>
            </c:strRef>
          </c:tx>
          <c:spPr>
            <a:solidFill>
              <a:srgbClr val="dc853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Dashboard!$B$4:$J$4</c:f>
              <c:multiLvlStrCache>
                <c:ptCount val="1"/>
                <c:lvl>
                  <c:pt idx="0">
                    <c:v>Inspirational Leadership</c:v>
                  </c:pt>
                </c:lvl>
                <c:lvl>
                  <c:pt idx="0">
                    <c:v>Planning &amp; Problem Solving</c:v>
                  </c:pt>
                </c:lvl>
                <c:lvl>
                  <c:pt idx="0">
                    <c:v>Stakeholder Management</c:v>
                  </c:pt>
                </c:lvl>
                <c:lvl>
                  <c:pt idx="0">
                    <c:v>Teamwork</c:v>
                  </c:pt>
                </c:lvl>
                <c:lvl>
                  <c:pt idx="0">
                    <c:v>Empathy</c:v>
                  </c:pt>
                </c:lvl>
                <c:lvl>
                  <c:pt idx="0">
                    <c:v>Communication</c:v>
                  </c:pt>
                </c:lvl>
                <c:lvl>
                  <c:pt idx="0">
                    <c:v>Positive Outlook</c:v>
                  </c:pt>
                </c:lvl>
                <c:lvl>
                  <c:pt idx="0">
                    <c:v>Adaptability</c:v>
                  </c:pt>
                </c:lvl>
                <c:lvl>
                  <c:pt idx="0">
                    <c:v>Future Focused</c:v>
                  </c:pt>
                </c:lvl>
              </c:multiLvlStrCache>
            </c:multiLvlStrRef>
          </c:cat>
          <c:val>
            <c:numRef>
              <c:f>Dashboard!$G$5:$G$6</c:f>
              <c:numCache>
                <c:formatCode>0.0</c:formatCode>
                <c:ptCount val="2"/>
                <c:pt idx="0">
                  <c:v>4.66666666666667</c:v>
                </c:pt>
                <c:pt idx="1">
                  <c:v>4.66666666666667</c:v>
                </c:pt>
              </c:numCache>
            </c:numRef>
          </c:val>
        </c:ser>
        <c:ser>
          <c:idx val="6"/>
          <c:order val="6"/>
          <c:tx>
            <c:strRef>
              <c:f>Dashboard!H4</c:f>
              <c:strCache>
                <c:ptCount val="1"/>
                <c:pt idx="0">
                  <c:v>Stakeholder Management</c:v>
                </c:pt>
              </c:strCache>
            </c:strRef>
          </c:tx>
          <c:spPr>
            <a:solidFill>
              <a:srgbClr val="93a9c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Dashboard!$B$4:$J$4</c:f>
              <c:multiLvlStrCache>
                <c:ptCount val="1"/>
                <c:lvl>
                  <c:pt idx="0">
                    <c:v>Inspirational Leadership</c:v>
                  </c:pt>
                </c:lvl>
                <c:lvl>
                  <c:pt idx="0">
                    <c:v>Planning &amp; Problem Solving</c:v>
                  </c:pt>
                </c:lvl>
                <c:lvl>
                  <c:pt idx="0">
                    <c:v>Stakeholder Management</c:v>
                  </c:pt>
                </c:lvl>
                <c:lvl>
                  <c:pt idx="0">
                    <c:v>Teamwork</c:v>
                  </c:pt>
                </c:lvl>
                <c:lvl>
                  <c:pt idx="0">
                    <c:v>Empathy</c:v>
                  </c:pt>
                </c:lvl>
                <c:lvl>
                  <c:pt idx="0">
                    <c:v>Communication</c:v>
                  </c:pt>
                </c:lvl>
                <c:lvl>
                  <c:pt idx="0">
                    <c:v>Positive Outlook</c:v>
                  </c:pt>
                </c:lvl>
                <c:lvl>
                  <c:pt idx="0">
                    <c:v>Adaptability</c:v>
                  </c:pt>
                </c:lvl>
                <c:lvl>
                  <c:pt idx="0">
                    <c:v>Future Focused</c:v>
                  </c:pt>
                </c:lvl>
              </c:multiLvlStrCache>
            </c:multiLvlStrRef>
          </c:cat>
          <c:val>
            <c:numRef>
              <c:f>Dashboard!$H$5:$H$6</c:f>
              <c:numCache>
                <c:formatCode>0.0</c:formatCode>
                <c:ptCount val="2"/>
                <c:pt idx="0">
                  <c:v>4.66666666666667</c:v>
                </c:pt>
                <c:pt idx="1">
                  <c:v>4.33333333333333</c:v>
                </c:pt>
              </c:numCache>
            </c:numRef>
          </c:val>
        </c:ser>
        <c:ser>
          <c:idx val="7"/>
          <c:order val="7"/>
          <c:tx>
            <c:strRef>
              <c:f>Dashboard!I4</c:f>
              <c:strCache>
                <c:ptCount val="1"/>
                <c:pt idx="0">
                  <c:v>Planning &amp; Problem Solving</c:v>
                </c:pt>
              </c:strCache>
            </c:strRef>
          </c:tx>
          <c:spPr>
            <a:solidFill>
              <a:srgbClr val="d09493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Dashboard!$B$4:$J$4</c:f>
              <c:multiLvlStrCache>
                <c:ptCount val="1"/>
                <c:lvl>
                  <c:pt idx="0">
                    <c:v>Inspirational Leadership</c:v>
                  </c:pt>
                </c:lvl>
                <c:lvl>
                  <c:pt idx="0">
                    <c:v>Planning &amp; Problem Solving</c:v>
                  </c:pt>
                </c:lvl>
                <c:lvl>
                  <c:pt idx="0">
                    <c:v>Stakeholder Management</c:v>
                  </c:pt>
                </c:lvl>
                <c:lvl>
                  <c:pt idx="0">
                    <c:v>Teamwork</c:v>
                  </c:pt>
                </c:lvl>
                <c:lvl>
                  <c:pt idx="0">
                    <c:v>Empathy</c:v>
                  </c:pt>
                </c:lvl>
                <c:lvl>
                  <c:pt idx="0">
                    <c:v>Communication</c:v>
                  </c:pt>
                </c:lvl>
                <c:lvl>
                  <c:pt idx="0">
                    <c:v>Positive Outlook</c:v>
                  </c:pt>
                </c:lvl>
                <c:lvl>
                  <c:pt idx="0">
                    <c:v>Adaptability</c:v>
                  </c:pt>
                </c:lvl>
                <c:lvl>
                  <c:pt idx="0">
                    <c:v>Future Focused</c:v>
                  </c:pt>
                </c:lvl>
              </c:multiLvlStrCache>
            </c:multiLvlStrRef>
          </c:cat>
          <c:val>
            <c:numRef>
              <c:f>Dashboard!$I$5:$I$6</c:f>
              <c:numCache>
                <c:formatCode>0.0</c:formatCode>
                <c:ptCount val="2"/>
                <c:pt idx="0">
                  <c:v>3.33333333333333</c:v>
                </c:pt>
                <c:pt idx="1">
                  <c:v>4.66666666666667</c:v>
                </c:pt>
              </c:numCache>
            </c:numRef>
          </c:val>
        </c:ser>
        <c:ser>
          <c:idx val="8"/>
          <c:order val="8"/>
          <c:tx>
            <c:strRef>
              <c:f>Dashboard!J4</c:f>
              <c:strCache>
                <c:ptCount val="1"/>
                <c:pt idx="0">
                  <c:v>Inspirational Leadership</c:v>
                </c:pt>
              </c:strCache>
            </c:strRef>
          </c:tx>
          <c:spPr>
            <a:solidFill>
              <a:srgbClr val="b8cd9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Dashboard!$B$4:$J$4</c:f>
              <c:multiLvlStrCache>
                <c:ptCount val="1"/>
                <c:lvl>
                  <c:pt idx="0">
                    <c:v>Inspirational Leadership</c:v>
                  </c:pt>
                </c:lvl>
                <c:lvl>
                  <c:pt idx="0">
                    <c:v>Planning &amp; Problem Solving</c:v>
                  </c:pt>
                </c:lvl>
                <c:lvl>
                  <c:pt idx="0">
                    <c:v>Stakeholder Management</c:v>
                  </c:pt>
                </c:lvl>
                <c:lvl>
                  <c:pt idx="0">
                    <c:v>Teamwork</c:v>
                  </c:pt>
                </c:lvl>
                <c:lvl>
                  <c:pt idx="0">
                    <c:v>Empathy</c:v>
                  </c:pt>
                </c:lvl>
                <c:lvl>
                  <c:pt idx="0">
                    <c:v>Communication</c:v>
                  </c:pt>
                </c:lvl>
                <c:lvl>
                  <c:pt idx="0">
                    <c:v>Positive Outlook</c:v>
                  </c:pt>
                </c:lvl>
                <c:lvl>
                  <c:pt idx="0">
                    <c:v>Adaptability</c:v>
                  </c:pt>
                </c:lvl>
                <c:lvl>
                  <c:pt idx="0">
                    <c:v>Future Focused</c:v>
                  </c:pt>
                </c:lvl>
              </c:multiLvlStrCache>
            </c:multiLvlStrRef>
          </c:cat>
          <c:val>
            <c:numRef>
              <c:f>Dashboard!$J$5:$J$6</c:f>
              <c:numCache>
                <c:formatCode>0.0</c:formatCode>
                <c:ptCount val="2"/>
                <c:pt idx="0">
                  <c:v>4.33333333333333</c:v>
                </c:pt>
                <c:pt idx="1">
                  <c:v>4</c:v>
                </c:pt>
              </c:numCache>
            </c:numRef>
          </c:val>
        </c:ser>
        <c:gapWidth val="150"/>
        <c:overlap val="0"/>
        <c:axId val="28858589"/>
        <c:axId val="93388422"/>
      </c:barChart>
      <c:catAx>
        <c:axId val="288585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388422"/>
        <c:crosses val="autoZero"/>
        <c:auto val="1"/>
        <c:lblAlgn val="ctr"/>
        <c:lblOffset val="100"/>
        <c:noMultiLvlLbl val="0"/>
      </c:catAx>
      <c:valAx>
        <c:axId val="93388422"/>
        <c:scaling>
          <c:orientation val="minMax"/>
          <c:max val="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Average Score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8585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</xdr:row>
      <xdr:rowOff>0</xdr:rowOff>
    </xdr:from>
    <xdr:to>
      <xdr:col>8</xdr:col>
      <xdr:colOff>675000</xdr:colOff>
      <xdr:row>31</xdr:row>
      <xdr:rowOff>107640</xdr:rowOff>
    </xdr:to>
    <xdr:graphicFrame>
      <xdr:nvGraphicFramePr>
        <xdr:cNvPr id="0" name="Chart 1"/>
        <xdr:cNvGraphicFramePr/>
      </xdr:nvGraphicFramePr>
      <xdr:xfrm>
        <a:off x="0" y="2266920"/>
        <a:ext cx="863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11" min="3" style="0" width="15"/>
    <col collapsed="false" customWidth="true" hidden="false" outlineLevel="0" max="13" min="12" style="0" width="45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36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</row>
    <row r="3" customFormat="false" ht="25.5" hidden="false" customHeight="true" outlineLevel="0" collapsed="false">
      <c r="A3" s="3" t="s">
        <v>14</v>
      </c>
      <c r="B3" s="3" t="s">
        <v>15</v>
      </c>
      <c r="C3" s="4" t="n">
        <v>4</v>
      </c>
      <c r="D3" s="4" t="n">
        <v>5</v>
      </c>
      <c r="E3" s="4" t="n">
        <v>3</v>
      </c>
      <c r="F3" s="4" t="n">
        <v>5</v>
      </c>
      <c r="G3" s="4" t="n">
        <v>4</v>
      </c>
      <c r="H3" s="4" t="n">
        <v>4</v>
      </c>
      <c r="I3" s="4" t="n">
        <v>5</v>
      </c>
      <c r="J3" s="4" t="n">
        <v>3</v>
      </c>
      <c r="K3" s="4" t="n">
        <v>4</v>
      </c>
      <c r="L3" s="5" t="s">
        <v>16</v>
      </c>
      <c r="M3" s="5" t="s">
        <v>17</v>
      </c>
    </row>
    <row r="4" customFormat="false" ht="25.5" hidden="false" customHeight="true" outlineLevel="0" collapsed="false">
      <c r="A4" s="6" t="s">
        <v>18</v>
      </c>
      <c r="B4" s="6" t="s">
        <v>15</v>
      </c>
      <c r="C4" s="7" t="n">
        <v>5</v>
      </c>
      <c r="D4" s="7" t="n">
        <v>5</v>
      </c>
      <c r="E4" s="7" t="n">
        <v>4</v>
      </c>
      <c r="F4" s="7" t="n">
        <v>5</v>
      </c>
      <c r="G4" s="7" t="n">
        <v>5</v>
      </c>
      <c r="H4" s="7" t="n">
        <v>5</v>
      </c>
      <c r="I4" s="7" t="n">
        <v>5</v>
      </c>
      <c r="J4" s="7" t="n">
        <v>4</v>
      </c>
      <c r="K4" s="7" t="n">
        <v>5</v>
      </c>
      <c r="L4" s="8" t="s">
        <v>19</v>
      </c>
      <c r="M4" s="8" t="s">
        <v>20</v>
      </c>
    </row>
    <row r="5" customFormat="false" ht="25.5" hidden="false" customHeight="true" outlineLevel="0" collapsed="false">
      <c r="A5" s="3" t="s">
        <v>21</v>
      </c>
      <c r="B5" s="3" t="s">
        <v>15</v>
      </c>
      <c r="C5" s="4" t="n">
        <v>3</v>
      </c>
      <c r="D5" s="4" t="n">
        <v>4</v>
      </c>
      <c r="E5" s="4" t="n">
        <v>5</v>
      </c>
      <c r="F5" s="4" t="n">
        <v>4</v>
      </c>
      <c r="G5" s="4" t="n">
        <v>3</v>
      </c>
      <c r="H5" s="4" t="n">
        <v>5</v>
      </c>
      <c r="I5" s="4" t="n">
        <v>4</v>
      </c>
      <c r="J5" s="4" t="n">
        <v>3</v>
      </c>
      <c r="K5" s="4" t="n">
        <v>4</v>
      </c>
      <c r="L5" s="5" t="s">
        <v>22</v>
      </c>
      <c r="M5" s="5" t="s">
        <v>23</v>
      </c>
    </row>
    <row r="6" customFormat="false" ht="25.5" hidden="false" customHeight="true" outlineLevel="0" collapsed="false">
      <c r="A6" s="6" t="s">
        <v>24</v>
      </c>
      <c r="B6" s="6" t="s">
        <v>25</v>
      </c>
      <c r="C6" s="7" t="n">
        <v>5</v>
      </c>
      <c r="D6" s="7" t="n">
        <v>4</v>
      </c>
      <c r="E6" s="7" t="n">
        <v>4</v>
      </c>
      <c r="F6" s="7" t="n">
        <v>4</v>
      </c>
      <c r="G6" s="7" t="n">
        <v>5</v>
      </c>
      <c r="H6" s="7" t="n">
        <v>5</v>
      </c>
      <c r="I6" s="7" t="n">
        <v>4</v>
      </c>
      <c r="J6" s="7" t="n">
        <v>5</v>
      </c>
      <c r="K6" s="7" t="n">
        <v>3</v>
      </c>
      <c r="L6" s="8" t="s">
        <v>26</v>
      </c>
      <c r="M6" s="8" t="s">
        <v>27</v>
      </c>
    </row>
    <row r="7" customFormat="false" ht="25.5" hidden="false" customHeight="true" outlineLevel="0" collapsed="false">
      <c r="A7" s="3" t="s">
        <v>28</v>
      </c>
      <c r="B7" s="3" t="s">
        <v>25</v>
      </c>
      <c r="C7" s="4" t="n">
        <v>4</v>
      </c>
      <c r="D7" s="4" t="n">
        <v>4</v>
      </c>
      <c r="E7" s="4" t="n">
        <v>5</v>
      </c>
      <c r="F7" s="4" t="n">
        <v>4</v>
      </c>
      <c r="G7" s="4" t="n">
        <v>4</v>
      </c>
      <c r="H7" s="4" t="n">
        <v>4</v>
      </c>
      <c r="I7" s="4" t="n">
        <v>5</v>
      </c>
      <c r="J7" s="4" t="n">
        <v>5</v>
      </c>
      <c r="K7" s="4" t="n">
        <v>4</v>
      </c>
      <c r="L7" s="5" t="s">
        <v>29</v>
      </c>
      <c r="M7" s="5" t="s">
        <v>30</v>
      </c>
    </row>
    <row r="8" customFormat="false" ht="25.5" hidden="false" customHeight="true" outlineLevel="0" collapsed="false">
      <c r="A8" s="6" t="s">
        <v>31</v>
      </c>
      <c r="B8" s="6" t="s">
        <v>25</v>
      </c>
      <c r="C8" s="7" t="n">
        <v>5</v>
      </c>
      <c r="D8" s="7" t="n">
        <v>5</v>
      </c>
      <c r="E8" s="7" t="n">
        <v>4</v>
      </c>
      <c r="F8" s="7" t="n">
        <v>5</v>
      </c>
      <c r="G8" s="7" t="n">
        <v>5</v>
      </c>
      <c r="H8" s="7" t="n">
        <v>5</v>
      </c>
      <c r="I8" s="7" t="n">
        <v>4</v>
      </c>
      <c r="J8" s="7" t="n">
        <v>4</v>
      </c>
      <c r="K8" s="7" t="n">
        <v>5</v>
      </c>
      <c r="L8" s="8" t="s">
        <v>32</v>
      </c>
      <c r="M8" s="8" t="s">
        <v>33</v>
      </c>
    </row>
    <row r="10" customFormat="false" ht="15" hidden="false" customHeight="false" outlineLevel="0" collapsed="false">
      <c r="A10" s="9" t="s">
        <v>34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</sheetData>
  <autoFilter ref="A2:M2"/>
  <mergeCells count="2">
    <mergeCell ref="A1:M1"/>
    <mergeCell ref="A10:M10"/>
  </mergeCells>
  <conditionalFormatting sqref="C3:K8">
    <cfRule type="colorScale" priority="2">
      <colorScale>
        <cfvo type="num" val="1"/>
        <cfvo type="num" val="3"/>
        <cfvo type="num" val="5"/>
        <color rgb="FFDC2626"/>
        <color rgb="FFD97706"/>
        <color rgb="FF05966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3"/>
  </cols>
  <sheetData>
    <row r="1" customFormat="false" ht="36" hidden="false" customHeight="true" outlineLevel="0" collapsed="false">
      <c r="A1" s="10" t="s">
        <v>35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customFormat="false" ht="19.5" hidden="false" customHeight="true" outlineLevel="0" collapsed="false">
      <c r="A2" s="11" t="s">
        <v>36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4" customFormat="false" ht="42" hidden="false" customHeight="true" outlineLevel="0" collapsed="false">
      <c r="A4" s="12" t="s">
        <v>37</v>
      </c>
      <c r="B4" s="13" t="s">
        <v>3</v>
      </c>
      <c r="C4" s="13" t="s">
        <v>4</v>
      </c>
      <c r="D4" s="13" t="s">
        <v>5</v>
      </c>
      <c r="E4" s="13" t="s">
        <v>6</v>
      </c>
      <c r="F4" s="13" t="s">
        <v>7</v>
      </c>
      <c r="G4" s="13" t="s">
        <v>8</v>
      </c>
      <c r="H4" s="13" t="s">
        <v>9</v>
      </c>
      <c r="I4" s="13" t="s">
        <v>10</v>
      </c>
      <c r="J4" s="13" t="s">
        <v>11</v>
      </c>
      <c r="K4" s="14" t="s">
        <v>38</v>
      </c>
      <c r="L4" s="14" t="s">
        <v>39</v>
      </c>
    </row>
    <row r="5" customFormat="false" ht="25.5" hidden="false" customHeight="true" outlineLevel="0" collapsed="false">
      <c r="A5" s="15" t="s">
        <v>15</v>
      </c>
      <c r="B5" s="16" t="n">
        <f aca="false">IFERROR(AVERAGEIF(Responses!$B$3:$B$200,A5,Responses!$C$3:$C$200),"")</f>
        <v>4</v>
      </c>
      <c r="C5" s="16" t="n">
        <f aca="false">IFERROR(AVERAGEIF(Responses!$B$3:$B$200,A5,Responses!$D$3:$D$200),"")</f>
        <v>4.66666666666667</v>
      </c>
      <c r="D5" s="16" t="n">
        <f aca="false">IFERROR(AVERAGEIF(Responses!$B$3:$B$200,A5,Responses!$E$3:$E$200),"")</f>
        <v>4</v>
      </c>
      <c r="E5" s="16" t="n">
        <f aca="false">IFERROR(AVERAGEIF(Responses!$B$3:$B$200,A5,Responses!$F$3:$F$200),"")</f>
        <v>4.66666666666667</v>
      </c>
      <c r="F5" s="16" t="n">
        <f aca="false">IFERROR(AVERAGEIF(Responses!$B$3:$B$200,A5,Responses!$G$3:$G$200),"")</f>
        <v>4</v>
      </c>
      <c r="G5" s="16" t="n">
        <f aca="false">IFERROR(AVERAGEIF(Responses!$B$3:$B$200,A5,Responses!$H$3:$H$200),"")</f>
        <v>4.66666666666667</v>
      </c>
      <c r="H5" s="16" t="n">
        <f aca="false">IFERROR(AVERAGEIF(Responses!$B$3:$B$200,A5,Responses!$I$3:$I$200),"")</f>
        <v>4.66666666666667</v>
      </c>
      <c r="I5" s="16" t="n">
        <f aca="false">IFERROR(AVERAGEIF(Responses!$B$3:$B$200,A5,Responses!$J$3:$J$200),"")</f>
        <v>3.33333333333333</v>
      </c>
      <c r="J5" s="16" t="n">
        <f aca="false">IFERROR(AVERAGEIF(Responses!$B$3:$B$200,A5,Responses!$K$3:$K$200),"")</f>
        <v>4.33333333333333</v>
      </c>
      <c r="K5" s="17" t="n">
        <f aca="false">COUNTIF(Responses!$B$3:$B$200,A5)</f>
        <v>3</v>
      </c>
      <c r="L5" s="18" t="n">
        <f aca="false">IFERROR(AVERAGE(B5:J5),"")</f>
        <v>4.25925925925926</v>
      </c>
    </row>
    <row r="6" customFormat="false" ht="25.5" hidden="false" customHeight="true" outlineLevel="0" collapsed="false">
      <c r="A6" s="19" t="s">
        <v>25</v>
      </c>
      <c r="B6" s="20" t="n">
        <f aca="false">IFERROR(AVERAGEIF(Responses!$B$3:$B$200,A6,Responses!$C$3:$C$200),"")</f>
        <v>4.66666666666667</v>
      </c>
      <c r="C6" s="20" t="n">
        <f aca="false">IFERROR(AVERAGEIF(Responses!$B$3:$B$200,A6,Responses!$D$3:$D$200),"")</f>
        <v>4.33333333333333</v>
      </c>
      <c r="D6" s="20" t="n">
        <f aca="false">IFERROR(AVERAGEIF(Responses!$B$3:$B$200,A6,Responses!$E$3:$E$200),"")</f>
        <v>4.33333333333333</v>
      </c>
      <c r="E6" s="20" t="n">
        <f aca="false">IFERROR(AVERAGEIF(Responses!$B$3:$B$200,A6,Responses!$F$3:$F$200),"")</f>
        <v>4.33333333333333</v>
      </c>
      <c r="F6" s="20" t="n">
        <f aca="false">IFERROR(AVERAGEIF(Responses!$B$3:$B$200,A6,Responses!$G$3:$G$200),"")</f>
        <v>4.66666666666667</v>
      </c>
      <c r="G6" s="20" t="n">
        <f aca="false">IFERROR(AVERAGEIF(Responses!$B$3:$B$200,A6,Responses!$H$3:$H$200),"")</f>
        <v>4.66666666666667</v>
      </c>
      <c r="H6" s="20" t="n">
        <f aca="false">IFERROR(AVERAGEIF(Responses!$B$3:$B$200,A6,Responses!$I$3:$I$200),"")</f>
        <v>4.33333333333333</v>
      </c>
      <c r="I6" s="20" t="n">
        <f aca="false">IFERROR(AVERAGEIF(Responses!$B$3:$B$200,A6,Responses!$J$3:$J$200),"")</f>
        <v>4.66666666666667</v>
      </c>
      <c r="J6" s="20" t="n">
        <f aca="false">IFERROR(AVERAGEIF(Responses!$B$3:$B$200,A6,Responses!$K$3:$K$200),"")</f>
        <v>4</v>
      </c>
      <c r="K6" s="21" t="n">
        <f aca="false">COUNTIF(Responses!$B$3:$B$200,A6)</f>
        <v>3</v>
      </c>
      <c r="L6" s="18" t="n">
        <f aca="false">IFERROR(AVERAGE(B6:J6),"")</f>
        <v>4.44444444444445</v>
      </c>
    </row>
  </sheetData>
  <mergeCells count="2">
    <mergeCell ref="A1:N1"/>
    <mergeCell ref="A2:N2"/>
  </mergeCells>
  <conditionalFormatting sqref="B5:J6">
    <cfRule type="colorScale" priority="2">
      <colorScale>
        <cfvo type="num" val="1"/>
        <cfvo type="num" val="3"/>
        <cfvo type="num" val="5"/>
        <color rgb="FFDC2626"/>
        <color rgb="FFD97706"/>
        <color rgb="FF05966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8"/>
    <col collapsed="false" customWidth="true" hidden="false" outlineLevel="0" max="4" min="3" style="0" width="12"/>
    <col collapsed="false" customWidth="true" hidden="false" outlineLevel="0" max="5" min="5" style="0" width="16"/>
  </cols>
  <sheetData>
    <row r="1" customFormat="false" ht="33.75" hidden="false" customHeight="true" outlineLevel="0" collapsed="false">
      <c r="A1" s="1" t="s">
        <v>40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1" t="s">
        <v>41</v>
      </c>
      <c r="B2" s="11"/>
      <c r="C2" s="11"/>
      <c r="D2" s="11"/>
      <c r="E2" s="11"/>
      <c r="F2" s="11"/>
      <c r="G2" s="11"/>
      <c r="H2" s="11"/>
      <c r="I2" s="11"/>
    </row>
    <row r="3" customFormat="false" ht="15" hidden="false" customHeight="false" outlineLevel="0" collapsed="false">
      <c r="A3" s="22" t="s">
        <v>42</v>
      </c>
      <c r="B3" s="23" t="s">
        <v>15</v>
      </c>
    </row>
    <row r="5" customFormat="false" ht="27.75" hidden="false" customHeight="true" outlineLevel="0" collapsed="false">
      <c r="A5" s="12" t="s">
        <v>43</v>
      </c>
      <c r="B5" s="12" t="s">
        <v>44</v>
      </c>
      <c r="C5" s="14" t="s">
        <v>45</v>
      </c>
      <c r="D5" s="14" t="s">
        <v>38</v>
      </c>
      <c r="E5" s="14" t="s">
        <v>46</v>
      </c>
    </row>
    <row r="6" customFormat="false" ht="25.5" hidden="false" customHeight="true" outlineLevel="0" collapsed="false">
      <c r="A6" s="19" t="s">
        <v>3</v>
      </c>
      <c r="B6" s="24" t="s">
        <v>47</v>
      </c>
      <c r="C6" s="25" t="n">
        <f aca="false">IFERROR(AVERAGEIF(Responses!$B$3:$B$200,$B$3,Responses!$C$3:$C$200),"")</f>
        <v>4</v>
      </c>
      <c r="D6" s="26" t="n">
        <f aca="false">IFERROR(COUNTIF(Responses!$B$3:$B$200,$B$3),0)</f>
        <v>3</v>
      </c>
      <c r="E6" s="27" t="str">
        <f aca="false">IFERROR(REPT("■",ROUND(C6,0))&amp;REPT("□",5-ROUND(C6,0)),"")</f>
        <v>■■■■□</v>
      </c>
    </row>
    <row r="7" customFormat="false" ht="25.5" hidden="false" customHeight="true" outlineLevel="0" collapsed="false">
      <c r="A7" s="15" t="s">
        <v>4</v>
      </c>
      <c r="B7" s="28" t="s">
        <v>47</v>
      </c>
      <c r="C7" s="29" t="n">
        <f aca="false">IFERROR(AVERAGEIF(Responses!$B$3:$B$200,$B$3,Responses!$D$3:$D$200),"")</f>
        <v>4.66666666666667</v>
      </c>
      <c r="D7" s="30" t="n">
        <f aca="false">IFERROR(COUNTIF(Responses!$B$3:$B$200,$B$3),0)</f>
        <v>3</v>
      </c>
      <c r="E7" s="31" t="str">
        <f aca="false">IFERROR(REPT("■",ROUND(C7,0))&amp;REPT("□",5-ROUND(C7,0)),"")</f>
        <v>■■■■■</v>
      </c>
    </row>
    <row r="8" customFormat="false" ht="25.5" hidden="false" customHeight="true" outlineLevel="0" collapsed="false">
      <c r="A8" s="19" t="s">
        <v>5</v>
      </c>
      <c r="B8" s="24" t="s">
        <v>47</v>
      </c>
      <c r="C8" s="25" t="n">
        <f aca="false">IFERROR(AVERAGEIF(Responses!$B$3:$B$200,$B$3,Responses!$E$3:$E$200),"")</f>
        <v>4</v>
      </c>
      <c r="D8" s="26" t="n">
        <f aca="false">IFERROR(COUNTIF(Responses!$B$3:$B$200,$B$3),0)</f>
        <v>3</v>
      </c>
      <c r="E8" s="27" t="str">
        <f aca="false">IFERROR(REPT("■",ROUND(C8,0))&amp;REPT("□",5-ROUND(C8,0)),"")</f>
        <v>■■■■□</v>
      </c>
    </row>
    <row r="9" customFormat="false" ht="25.5" hidden="false" customHeight="true" outlineLevel="0" collapsed="false">
      <c r="A9" s="15" t="s">
        <v>6</v>
      </c>
      <c r="B9" s="28" t="s">
        <v>48</v>
      </c>
      <c r="C9" s="29" t="n">
        <f aca="false">IFERROR(AVERAGEIF(Responses!$B$3:$B$200,$B$3,Responses!$F$3:$F$200),"")</f>
        <v>4.66666666666667</v>
      </c>
      <c r="D9" s="30" t="n">
        <f aca="false">IFERROR(COUNTIF(Responses!$B$3:$B$200,$B$3),0)</f>
        <v>3</v>
      </c>
      <c r="E9" s="31" t="str">
        <f aca="false">IFERROR(REPT("■",ROUND(C9,0))&amp;REPT("□",5-ROUND(C9,0)),"")</f>
        <v>■■■■■</v>
      </c>
    </row>
    <row r="10" customFormat="false" ht="25.5" hidden="false" customHeight="true" outlineLevel="0" collapsed="false">
      <c r="A10" s="19" t="s">
        <v>7</v>
      </c>
      <c r="B10" s="24" t="s">
        <v>48</v>
      </c>
      <c r="C10" s="25" t="n">
        <f aca="false">IFERROR(AVERAGEIF(Responses!$B$3:$B$200,$B$3,Responses!$G$3:$G$200),"")</f>
        <v>4</v>
      </c>
      <c r="D10" s="26" t="n">
        <f aca="false">IFERROR(COUNTIF(Responses!$B$3:$B$200,$B$3),0)</f>
        <v>3</v>
      </c>
      <c r="E10" s="27" t="str">
        <f aca="false">IFERROR(REPT("■",ROUND(C10,0))&amp;REPT("□",5-ROUND(C10,0)),"")</f>
        <v>■■■■□</v>
      </c>
    </row>
    <row r="11" customFormat="false" ht="25.5" hidden="false" customHeight="true" outlineLevel="0" collapsed="false">
      <c r="A11" s="15" t="s">
        <v>8</v>
      </c>
      <c r="B11" s="28" t="s">
        <v>49</v>
      </c>
      <c r="C11" s="29" t="n">
        <f aca="false">IFERROR(AVERAGEIF(Responses!$B$3:$B$200,$B$3,Responses!$H$3:$H$200),"")</f>
        <v>4.66666666666667</v>
      </c>
      <c r="D11" s="30" t="n">
        <f aca="false">IFERROR(COUNTIF(Responses!$B$3:$B$200,$B$3),0)</f>
        <v>3</v>
      </c>
      <c r="E11" s="31" t="str">
        <f aca="false">IFERROR(REPT("■",ROUND(C11,0))&amp;REPT("□",5-ROUND(C11,0)),"")</f>
        <v>■■■■■</v>
      </c>
    </row>
    <row r="12" customFormat="false" ht="25.5" hidden="false" customHeight="true" outlineLevel="0" collapsed="false">
      <c r="A12" s="19" t="s">
        <v>9</v>
      </c>
      <c r="B12" s="24" t="s">
        <v>49</v>
      </c>
      <c r="C12" s="25" t="n">
        <f aca="false">IFERROR(AVERAGEIF(Responses!$B$3:$B$200,$B$3,Responses!$I$3:$I$200),"")</f>
        <v>4.66666666666667</v>
      </c>
      <c r="D12" s="26" t="n">
        <f aca="false">IFERROR(COUNTIF(Responses!$B$3:$B$200,$B$3),0)</f>
        <v>3</v>
      </c>
      <c r="E12" s="27" t="str">
        <f aca="false">IFERROR(REPT("■",ROUND(C12,0))&amp;REPT("□",5-ROUND(C12,0)),"")</f>
        <v>■■■■■</v>
      </c>
    </row>
    <row r="13" customFormat="false" ht="25.5" hidden="false" customHeight="true" outlineLevel="0" collapsed="false">
      <c r="A13" s="15" t="s">
        <v>10</v>
      </c>
      <c r="B13" s="28" t="s">
        <v>50</v>
      </c>
      <c r="C13" s="29" t="n">
        <f aca="false">IFERROR(AVERAGEIF(Responses!$B$3:$B$200,$B$3,Responses!$J$3:$J$200),"")</f>
        <v>3.33333333333333</v>
      </c>
      <c r="D13" s="30" t="n">
        <f aca="false">IFERROR(COUNTIF(Responses!$B$3:$B$200,$B$3),0)</f>
        <v>3</v>
      </c>
      <c r="E13" s="31" t="str">
        <f aca="false">IFERROR(REPT("■",ROUND(C13,0))&amp;REPT("□",5-ROUND(C13,0)),"")</f>
        <v>■■■□□</v>
      </c>
    </row>
    <row r="14" customFormat="false" ht="25.5" hidden="false" customHeight="true" outlineLevel="0" collapsed="false">
      <c r="A14" s="19" t="s">
        <v>11</v>
      </c>
      <c r="B14" s="24" t="s">
        <v>50</v>
      </c>
      <c r="C14" s="25" t="n">
        <f aca="false">IFERROR(AVERAGEIF(Responses!$B$3:$B$200,$B$3,Responses!$K$3:$K$200),"")</f>
        <v>4.33333333333333</v>
      </c>
      <c r="D14" s="26" t="n">
        <f aca="false">IFERROR(COUNTIF(Responses!$B$3:$B$200,$B$3),0)</f>
        <v>3</v>
      </c>
      <c r="E14" s="27" t="str">
        <f aca="false">IFERROR(REPT("■",ROUND(C14,0))&amp;REPT("□",5-ROUND(C14,0)),"")</f>
        <v>■■■■□</v>
      </c>
    </row>
    <row r="17" customFormat="false" ht="15" hidden="false" customHeight="false" outlineLevel="0" collapsed="false">
      <c r="A17" s="32" t="s">
        <v>51</v>
      </c>
      <c r="B17" s="32"/>
      <c r="C17" s="32"/>
      <c r="D17" s="32"/>
      <c r="E17" s="32"/>
      <c r="F17" s="32"/>
      <c r="G17" s="32"/>
      <c r="H17" s="32"/>
      <c r="I17" s="32"/>
    </row>
    <row r="18" customFormat="false" ht="36" hidden="false" customHeight="true" outlineLevel="0" collapsed="false">
      <c r="A18" s="33" t="n">
        <f aca="false">IFERROR(INDEX(Responses!$L$3:$L$200,SMALL(IF(Responses!$B$3:$B$200=$B$3,ROW(Responses!$B$3:$B$200)-2),1)),"")</f>
        <v>0</v>
      </c>
      <c r="B18" s="33"/>
      <c r="C18" s="33"/>
      <c r="D18" s="33"/>
      <c r="E18" s="33"/>
      <c r="F18" s="33"/>
      <c r="G18" s="33"/>
      <c r="H18" s="33"/>
      <c r="I18" s="33"/>
    </row>
    <row r="19" customFormat="false" ht="36" hidden="false" customHeight="true" outlineLevel="0" collapsed="false">
      <c r="A19" s="34" t="str">
        <f aca="false">IFERROR(INDEX(Responses!$L$3:$L$200,SMALL(IF(Responses!$B$3:$B$200=$B$3,ROW(Responses!$B$3:$B$200)-2),2)),"")</f>
        <v/>
      </c>
      <c r="B19" s="34"/>
      <c r="C19" s="34"/>
      <c r="D19" s="34"/>
      <c r="E19" s="34"/>
      <c r="F19" s="34"/>
      <c r="G19" s="34"/>
      <c r="H19" s="34"/>
      <c r="I19" s="34"/>
    </row>
    <row r="20" customFormat="false" ht="36" hidden="false" customHeight="true" outlineLevel="0" collapsed="false">
      <c r="A20" s="33" t="str">
        <f aca="false">IFERROR(INDEX(Responses!$L$3:$L$200,SMALL(IF(Responses!$B$3:$B$200=$B$3,ROW(Responses!$B$3:$B$200)-2),3)),"")</f>
        <v/>
      </c>
      <c r="B20" s="33"/>
      <c r="C20" s="33"/>
      <c r="D20" s="33"/>
      <c r="E20" s="33"/>
      <c r="F20" s="33"/>
      <c r="G20" s="33"/>
      <c r="H20" s="33"/>
      <c r="I20" s="33"/>
    </row>
    <row r="21" customFormat="false" ht="36" hidden="false" customHeight="true" outlineLevel="0" collapsed="false">
      <c r="A21" s="34" t="str">
        <f aca="false">IFERROR(INDEX(Responses!$L$3:$L$200,SMALL(IF(Responses!$B$3:$B$200=$B$3,ROW(Responses!$B$3:$B$200)-2),4)),"")</f>
        <v/>
      </c>
      <c r="B21" s="34"/>
      <c r="C21" s="34"/>
      <c r="D21" s="34"/>
      <c r="E21" s="34"/>
      <c r="F21" s="34"/>
      <c r="G21" s="34"/>
      <c r="H21" s="34"/>
      <c r="I21" s="34"/>
    </row>
    <row r="22" customFormat="false" ht="36" hidden="false" customHeight="true" outlineLevel="0" collapsed="false">
      <c r="A22" s="33" t="str">
        <f aca="false">IFERROR(INDEX(Responses!$L$3:$L$200,SMALL(IF(Responses!$B$3:$B$200=$B$3,ROW(Responses!$B$3:$B$200)-2),5)),"")</f>
        <v/>
      </c>
      <c r="B22" s="33"/>
      <c r="C22" s="33"/>
      <c r="D22" s="33"/>
      <c r="E22" s="33"/>
      <c r="F22" s="33"/>
      <c r="G22" s="33"/>
      <c r="H22" s="33"/>
      <c r="I22" s="33"/>
    </row>
    <row r="23" customFormat="false" ht="36" hidden="false" customHeight="true" outlineLevel="0" collapsed="false">
      <c r="A23" s="34" t="str">
        <f aca="false">IFERROR(INDEX(Responses!$L$3:$L$200,SMALL(IF(Responses!$B$3:$B$200=$B$3,ROW(Responses!$B$3:$B$200)-2),6)),"")</f>
        <v/>
      </c>
      <c r="B23" s="34"/>
      <c r="C23" s="34"/>
      <c r="D23" s="34"/>
      <c r="E23" s="34"/>
      <c r="F23" s="34"/>
      <c r="G23" s="34"/>
      <c r="H23" s="34"/>
      <c r="I23" s="34"/>
    </row>
    <row r="24" customFormat="false" ht="36" hidden="false" customHeight="true" outlineLevel="0" collapsed="false">
      <c r="A24" s="33" t="str">
        <f aca="false">IFERROR(INDEX(Responses!$L$3:$L$200,SMALL(IF(Responses!$B$3:$B$200=$B$3,ROW(Responses!$B$3:$B$200)-2),7)),"")</f>
        <v/>
      </c>
      <c r="B24" s="33"/>
      <c r="C24" s="33"/>
      <c r="D24" s="33"/>
      <c r="E24" s="33"/>
      <c r="F24" s="33"/>
      <c r="G24" s="33"/>
      <c r="H24" s="33"/>
      <c r="I24" s="33"/>
    </row>
    <row r="25" customFormat="false" ht="36" hidden="false" customHeight="true" outlineLevel="0" collapsed="false">
      <c r="A25" s="34" t="str">
        <f aca="false">IFERROR(INDEX(Responses!$L$3:$L$200,SMALL(IF(Responses!$B$3:$B$200=$B$3,ROW(Responses!$B$3:$B$200)-2),8)),"")</f>
        <v/>
      </c>
      <c r="B25" s="34"/>
      <c r="C25" s="34"/>
      <c r="D25" s="34"/>
      <c r="E25" s="34"/>
      <c r="F25" s="34"/>
      <c r="G25" s="34"/>
      <c r="H25" s="34"/>
      <c r="I25" s="34"/>
    </row>
    <row r="27" customFormat="false" ht="15" hidden="false" customHeight="false" outlineLevel="0" collapsed="false">
      <c r="A27" s="35" t="s">
        <v>52</v>
      </c>
      <c r="B27" s="35"/>
      <c r="C27" s="35"/>
      <c r="D27" s="35"/>
      <c r="E27" s="35"/>
      <c r="F27" s="35"/>
      <c r="G27" s="35"/>
      <c r="H27" s="35"/>
      <c r="I27" s="35"/>
    </row>
    <row r="28" customFormat="false" ht="36" hidden="false" customHeight="true" outlineLevel="0" collapsed="false">
      <c r="A28" s="36" t="n">
        <f aca="false">IFERROR(INDEX(Responses!$M$3:$M$200,SMALL(IF(Responses!$B$3:$B$200=$B$3,ROW(Responses!$B$3:$B$200)-2),1)),"")</f>
        <v>0</v>
      </c>
      <c r="B28" s="36"/>
      <c r="C28" s="36"/>
      <c r="D28" s="36"/>
      <c r="E28" s="36"/>
      <c r="F28" s="36"/>
      <c r="G28" s="36"/>
      <c r="H28" s="36"/>
      <c r="I28" s="36"/>
    </row>
    <row r="29" customFormat="false" ht="36" hidden="false" customHeight="true" outlineLevel="0" collapsed="false">
      <c r="A29" s="34" t="str">
        <f aca="false">IFERROR(INDEX(Responses!$M$3:$M$200,SMALL(IF(Responses!$B$3:$B$200=$B$3,ROW(Responses!$B$3:$B$200)-2),2)),"")</f>
        <v/>
      </c>
      <c r="B29" s="34"/>
      <c r="C29" s="34"/>
      <c r="D29" s="34"/>
      <c r="E29" s="34"/>
      <c r="F29" s="34"/>
      <c r="G29" s="34"/>
      <c r="H29" s="34"/>
      <c r="I29" s="34"/>
    </row>
    <row r="30" customFormat="false" ht="36" hidden="false" customHeight="true" outlineLevel="0" collapsed="false">
      <c r="A30" s="36" t="str">
        <f aca="false">IFERROR(INDEX(Responses!$M$3:$M$200,SMALL(IF(Responses!$B$3:$B$200=$B$3,ROW(Responses!$B$3:$B$200)-2),3)),"")</f>
        <v/>
      </c>
      <c r="B30" s="36"/>
      <c r="C30" s="36"/>
      <c r="D30" s="36"/>
      <c r="E30" s="36"/>
      <c r="F30" s="36"/>
      <c r="G30" s="36"/>
      <c r="H30" s="36"/>
      <c r="I30" s="36"/>
    </row>
    <row r="31" customFormat="false" ht="36" hidden="false" customHeight="true" outlineLevel="0" collapsed="false">
      <c r="A31" s="34" t="str">
        <f aca="false">IFERROR(INDEX(Responses!$M$3:$M$200,SMALL(IF(Responses!$B$3:$B$200=$B$3,ROW(Responses!$B$3:$B$200)-2),4)),"")</f>
        <v/>
      </c>
      <c r="B31" s="34"/>
      <c r="C31" s="34"/>
      <c r="D31" s="34"/>
      <c r="E31" s="34"/>
      <c r="F31" s="34"/>
      <c r="G31" s="34"/>
      <c r="H31" s="34"/>
      <c r="I31" s="34"/>
    </row>
    <row r="32" customFormat="false" ht="36" hidden="false" customHeight="true" outlineLevel="0" collapsed="false">
      <c r="A32" s="36" t="str">
        <f aca="false">IFERROR(INDEX(Responses!$M$3:$M$200,SMALL(IF(Responses!$B$3:$B$200=$B$3,ROW(Responses!$B$3:$B$200)-2),5)),"")</f>
        <v/>
      </c>
      <c r="B32" s="36"/>
      <c r="C32" s="36"/>
      <c r="D32" s="36"/>
      <c r="E32" s="36"/>
      <c r="F32" s="36"/>
      <c r="G32" s="36"/>
      <c r="H32" s="36"/>
      <c r="I32" s="36"/>
    </row>
    <row r="33" customFormat="false" ht="36" hidden="false" customHeight="true" outlineLevel="0" collapsed="false">
      <c r="A33" s="34" t="str">
        <f aca="false">IFERROR(INDEX(Responses!$M$3:$M$200,SMALL(IF(Responses!$B$3:$B$200=$B$3,ROW(Responses!$B$3:$B$200)-2),6)),"")</f>
        <v/>
      </c>
      <c r="B33" s="34"/>
      <c r="C33" s="34"/>
      <c r="D33" s="34"/>
      <c r="E33" s="34"/>
      <c r="F33" s="34"/>
      <c r="G33" s="34"/>
      <c r="H33" s="34"/>
      <c r="I33" s="34"/>
    </row>
    <row r="34" customFormat="false" ht="36" hidden="false" customHeight="true" outlineLevel="0" collapsed="false">
      <c r="A34" s="36" t="str">
        <f aca="false">IFERROR(INDEX(Responses!$M$3:$M$200,SMALL(IF(Responses!$B$3:$B$200=$B$3,ROW(Responses!$B$3:$B$200)-2),7)),"")</f>
        <v/>
      </c>
      <c r="B34" s="36"/>
      <c r="C34" s="36"/>
      <c r="D34" s="36"/>
      <c r="E34" s="36"/>
      <c r="F34" s="36"/>
      <c r="G34" s="36"/>
      <c r="H34" s="36"/>
      <c r="I34" s="36"/>
    </row>
    <row r="35" customFormat="false" ht="36" hidden="false" customHeight="true" outlineLevel="0" collapsed="false">
      <c r="A35" s="34" t="str">
        <f aca="false">IFERROR(INDEX(Responses!$M$3:$M$200,SMALL(IF(Responses!$B$3:$B$200=$B$3,ROW(Responses!$B$3:$B$200)-2),8)),"")</f>
        <v/>
      </c>
      <c r="B35" s="34"/>
      <c r="C35" s="34"/>
      <c r="D35" s="34"/>
      <c r="E35" s="34"/>
      <c r="F35" s="34"/>
      <c r="G35" s="34"/>
      <c r="H35" s="34"/>
      <c r="I35" s="34"/>
    </row>
  </sheetData>
  <mergeCells count="20">
    <mergeCell ref="A1:I1"/>
    <mergeCell ref="A2:I2"/>
    <mergeCell ref="A17:I17"/>
    <mergeCell ref="A18:I18"/>
    <mergeCell ref="A19:I19"/>
    <mergeCell ref="A20:I20"/>
    <mergeCell ref="A21:I21"/>
    <mergeCell ref="A22:I22"/>
    <mergeCell ref="A23:I23"/>
    <mergeCell ref="A24:I24"/>
    <mergeCell ref="A25:I25"/>
    <mergeCell ref="A27:I27"/>
    <mergeCell ref="A28:I28"/>
    <mergeCell ref="A29:I29"/>
    <mergeCell ref="A30:I30"/>
    <mergeCell ref="A31:I31"/>
    <mergeCell ref="A32:I32"/>
    <mergeCell ref="A33:I33"/>
    <mergeCell ref="A34:I34"/>
    <mergeCell ref="A35:I35"/>
  </mergeCells>
  <conditionalFormatting sqref="C6:C14">
    <cfRule type="colorScale" priority="2">
      <colorScale>
        <cfvo type="num" val="1"/>
        <cfvo type="num" val="3"/>
        <cfvo type="num" val="5"/>
        <color rgb="FFDC2626"/>
        <color rgb="FFD97706"/>
        <color rgb="FF05966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2026-03-22T18:31:06Z</dcterms:created>
  <dc:creator>openpyxl</dc:creator>
  <dc:description/>
  <dc:language>en-US</dc:language>
  <cp:lastModifiedBy/>
  <dcterms:modified xsi:type="dcterms:W3CDTF">2026-03-22T18:31:14Z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